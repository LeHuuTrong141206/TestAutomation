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xml" PartName="/xl/drawings/drawing1.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mc:Choice Requires="x15">
      <x15ac:absPath xmlns:x15ac="http://schemas.microsoft.com/office/spreadsheetml/2010/11/ac" url="D:\KTNC\Khong gian\Test_Assignment_KTNC\"/>
    </mc:Choice>
  </mc:AlternateContent>
  <xr:revisionPtr revIDLastSave="0" documentId="13_ncr:1_{6421389B-C9F8-4C5A-A2D7-4C688802FD65}" xr6:coauthVersionLast="47" xr6:coauthVersionMax="47" xr10:uidLastSave="{00000000-0000-0000-0000-000000000000}"/>
  <bookViews>
    <workbookView xWindow="-108" yWindow="-108" windowWidth="23256" windowHeight="12456" activeTab="4" xr2:uid="{00000000-000D-0000-FFFF-FFFF00000000}"/>
  </bookViews>
  <sheets>
    <sheet name="TestPlan" sheetId="1" r:id="rId1"/>
    <sheet name="TestDesign" sheetId="2" r:id="rId2"/>
    <sheet name="TestReport" sheetId="4" r:id="rId3"/>
    <sheet name="TestCase" sheetId="3" r:id="rId4"/>
    <sheet name="TaiKhoan_QLTK" sheetId="6" r:id="rId5"/>
    <sheet name="DangNhap" sheetId="7" r:id="rId6"/>
  </sheets>
  <definedNames>
    <definedName name="_xlnm._FilterDatabase" localSheetId="3" hidden="1">TestCase!$A$1:$L$56</definedName>
    <definedName name="_xlnm._FilterDatabase" localSheetId="1" hidden="1">TestDesign!$A$1:$D$57</definedName>
    <definedName name="_xlnm._FilterDatabase" localSheetId="0" hidden="1">TestPlan!$A$1:$G$58</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4" l="1"/>
  <c r="E7" i="4"/>
  <c r="G7" i="4" s="1"/>
  <c r="F6" i="4"/>
  <c r="E6" i="4"/>
  <c r="G6" i="4" s="1"/>
  <c r="B6" i="4"/>
  <c r="F5" i="4"/>
  <c r="E5" i="4"/>
  <c r="B5" i="4"/>
  <c r="B4" i="4" s="1"/>
  <c r="F4" i="4"/>
  <c r="E4" i="4"/>
  <c r="G4" i="4" s="1"/>
  <c r="F3" i="4"/>
  <c r="E3" i="4"/>
  <c r="B3" i="4"/>
  <c r="F2" i="4"/>
  <c r="E2" i="4"/>
  <c r="G2" i="4" s="1"/>
  <c r="B2" i="4"/>
  <c r="G3" i="4" l="1"/>
  <c r="G5" i="4"/>
</calcChain>
</file>

<file path=xl/sharedStrings.xml><?xml version="1.0" encoding="utf-8"?>
<sst xmlns="http://schemas.openxmlformats.org/spreadsheetml/2006/main" count="889" uniqueCount="472">
  <si>
    <t>STT</t>
  </si>
  <si>
    <t>Đảm nhiệm</t>
  </si>
  <si>
    <t>Dự kiến</t>
  </si>
  <si>
    <t>Bắt đầu</t>
  </si>
  <si>
    <t>Kết thúc</t>
  </si>
  <si>
    <t>Mục tiêu</t>
  </si>
  <si>
    <t>Kiểm thử</t>
  </si>
  <si>
    <t>Nguyễn BÍch Trâm</t>
  </si>
  <si>
    <t>24 tiếng</t>
  </si>
  <si>
    <t>Kiểm tra đăng nhập</t>
  </si>
  <si>
    <t>Chạy automation đăng nhập với tài khoản hợp lệ được cung cấp</t>
  </si>
  <si>
    <t>Võ Thị Thúy Ngân</t>
  </si>
  <si>
    <t>Chạy automation bằng tài khoản của người dùng vào một video nhấn thích video đó</t>
  </si>
  <si>
    <t>Vũ Đỗ Trường Kỳ</t>
  </si>
  <si>
    <t>Chạy automation đăng xuất tài khoản của 1 người dùng</t>
  </si>
  <si>
    <t>Nguyễn Thế Ngữ</t>
  </si>
  <si>
    <t>Chạy automation khi thích một video mà chưa đăng nhập</t>
  </si>
  <si>
    <t>Châu Nhật Duy</t>
  </si>
  <si>
    <t>Chạy automation đăng nhập với tài khoản không tồn tại</t>
  </si>
  <si>
    <t>Lê Hữu Trọng</t>
  </si>
  <si>
    <t>Kiểm tra đăng ký</t>
  </si>
  <si>
    <t>Chạy automation đăng ký với các dữ liệu hợp lệ</t>
  </si>
  <si>
    <t>Chạy automation đăng ký với dữ liệu họ và tên có ký tự đặc biệt, còn những dữ liệu còn lại thì hợp lệ</t>
  </si>
  <si>
    <t>Chạy automation đăng ký với email có 2 @, còn các dữ liệu còn lại thì hợp lệ</t>
  </si>
  <si>
    <t>Chạy automation đăng ký với mật khẩu dưới 6 ký tự, còn dữ liệu còn lại thì hợp lệ</t>
  </si>
  <si>
    <t>Chạy automation đăng ký với mật khẩu có chữ, trên 6 ký tự còn dữ liệu còn lại thì hợp lệ</t>
  </si>
  <si>
    <t>Chạy automation đăng ký với mật khẩu và nhập lại mật khẩu khác nhau, còn các dữ liệu còn lại thì hợp lệ</t>
  </si>
  <si>
    <t>Nguyễn Bích Trâm</t>
  </si>
  <si>
    <t>Chạy automaiton đăng nhập với tài khoản admin đã được cung cấp</t>
  </si>
  <si>
    <t>Kiểm tra quản lý danh mục</t>
  </si>
  <si>
    <t>Chạy automation thêm tên danh mục với dữ liệu hợp lệ</t>
  </si>
  <si>
    <t>Chạy automation đổi tên danh mục hợp lệ</t>
  </si>
  <si>
    <t>Chạy automation xóa tên danh mục</t>
  </si>
  <si>
    <t>Chạy automation thêm tên danh mục với dữ liệu có ký tự đặc biệt, rồi xóa tên danh mục đó</t>
  </si>
  <si>
    <t>Chạy automation thêm tên danh mục với dữ liệu có trên 100 ký tự</t>
  </si>
  <si>
    <t>Kiểm tra bảo mật</t>
  </si>
  <si>
    <t>Chạy automation truy cập vào URL admin</t>
  </si>
  <si>
    <t>Chạy automation truy cập vào URL quản lý video của admin</t>
  </si>
  <si>
    <t>Chạy automation truy cập vào URL quản lý danh mục của admin</t>
  </si>
  <si>
    <t>Chạy automation truy cập vào URL quản lý tài khoản của admin</t>
  </si>
  <si>
    <t>Chạy automation truy cập vào URL báo cáo của admin</t>
  </si>
  <si>
    <t>Chạy automation truy cập vào URL dashboard của admin</t>
  </si>
  <si>
    <t>Kiểm tra đổi mật khẩu</t>
  </si>
  <si>
    <t>Chạy automation đổi mật khẩu của một user</t>
  </si>
  <si>
    <t>Chạy automation đổi mật khẩu của một user nhưng không khớp với mật khẩu cũ</t>
  </si>
  <si>
    <t>Chạy automation đổi mật khẩu của một user nhưng mật khẩu mới dài 100 số</t>
  </si>
  <si>
    <t>Chạy automation đổi mật khẩu của một user nhưng có ký tự đặc biệt</t>
  </si>
  <si>
    <t>Chạy automation đổi mật khẩu của một user nhưng nhập mật khẩu mới không khớp với nhập lại mật khẩu</t>
  </si>
  <si>
    <t>Kiểm tra yêu thích</t>
  </si>
  <si>
    <t>Chạy automation vào một tài khoản user và yêu thích một video sau đó vào mục yêu thích của user coi có video đó không</t>
  </si>
  <si>
    <t>Chạy automation vào một tài khoản user đã yêu thích 1 video rồi ấn lại nút đã yêu thích trở thành nút yêu thích rồi vào mục yêu thích của user đó coi có video đó còn không</t>
  </si>
  <si>
    <t>Kiểm tra chia sẻ</t>
  </si>
  <si>
    <t>Chạy automation vào một tài khoản user nhấn vào một video và chia sẻ video cho một gmail thật</t>
  </si>
  <si>
    <t>Chạy automation vào một tài khoản user nhấn vào một video và chia sẻ video cho một gmail không có thật</t>
  </si>
  <si>
    <t>Kiểm tra đăng xuất</t>
  </si>
  <si>
    <t>Chạy automation vào một tài khoản và nhấn đăng xuất</t>
  </si>
  <si>
    <t>Kiểm tra quản lý video</t>
  </si>
  <si>
    <t>Chạy automation vào tài khoản quản trị thêm mới một video thành công và ra trang chủ xem có video đó có xuất hiện ở phim mới cập nhật không</t>
  </si>
  <si>
    <t>Chạy automation vào tài khoản quản trị thêm một video có tiêu đề hơn 100 ký tự</t>
  </si>
  <si>
    <t>Chạy automation vào tài khoản quản trị thêm một video có tiêu đề có số và chữ</t>
  </si>
  <si>
    <t>Chạy automation vào tài khoản quản trị thêm một video có link video youtube khác với gợi ý</t>
  </si>
  <si>
    <t>Chạy automation vào tài khoản quản trị thêm một video có link poster khác với gợi ý</t>
  </si>
  <si>
    <t>Chạy automation vào tài khoản quản trị thêm một video có mô tả có hơn 500 ký tự</t>
  </si>
  <si>
    <t>Chạy automation vào tài khoản quản trị thêm một video có đạo diễn hơn 100 ký tự</t>
  </si>
  <si>
    <t>Chạy automation vào tài khoản quản trị thêm một video có năm phát hành là số âm</t>
  </si>
  <si>
    <t>Chạy automation vào tài khoản quản trị thêm một video có năm phát hành là số thực</t>
  </si>
  <si>
    <t>Chạy automation vào tài khoản quản trị thêm một video có năm phát hành là số lớn hơn 2100</t>
  </si>
  <si>
    <t>Chạy automation vào tài khoản quản trị chỉnh sửa thông tin của một video</t>
  </si>
  <si>
    <t>Chạy automation vào tài khoản quản trị xóa một video</t>
  </si>
  <si>
    <t>Kiểm tra quản lý tài khoản</t>
  </si>
  <si>
    <t>Chạy automation vào tài khoản quản trị thêm một tài khoản mới với vai trò user</t>
  </si>
  <si>
    <t>Chạy automation vào tài khoản quản trị thêm một tài khoản mới với email có 2 @</t>
  </si>
  <si>
    <t>Chạy automation vào tài khoản quản trị thêm một tài khoản mới với email không có @gmail.com</t>
  </si>
  <si>
    <t>Chạy automation vào tài khoản quản trị thêm một tài khoản mới với email không có .com</t>
  </si>
  <si>
    <t>Chạy automation vào tài khoản quản trị thêm một tài khoản mới với email dài 100 ký tự</t>
  </si>
  <si>
    <t>Chạy automation vào tài khoản quản trị thêm một tài khoản mới với mật khẩu có hơn 100 ký tự</t>
  </si>
  <si>
    <t>Chạy automation vào tài khoản quản trị thêm một tài khoản mới với mật khẩu có @gmail.com</t>
  </si>
  <si>
    <t>Chạy automation vào tài khoản quản trị thêm một tài khoản mới với họ tên có @gmail.com</t>
  </si>
  <si>
    <t>Chạy automation vào tài khoản quản trị thêm một tài khoản mới với họ tên có hơn 100 ký tự</t>
  </si>
  <si>
    <t>Chạy automation vào tài khoản quản trị thêm một tài khoản mới với vai trò admin</t>
  </si>
  <si>
    <t>Chạy automation vào tài khoản quản trị và chỉnh sủa thông tin của một tài khoản</t>
  </si>
  <si>
    <t>Chạy automation vào tài khoản quản trị và xóa một tài khoản</t>
  </si>
  <si>
    <t>Chức năng</t>
  </si>
  <si>
    <t>Yêu cầu</t>
  </si>
  <si>
    <t>Tiêu chí kiểm thử</t>
  </si>
  <si>
    <t>Loại kiểm thử</t>
  </si>
  <si>
    <t>Đăng nhập</t>
  </si>
  <si>
    <t>Đăng nhập hệ thống với các loại tài khoản</t>
  </si>
  <si>
    <t>Đăng nhập thành công với tài khoản hợp lệ được cung cấp</t>
  </si>
  <si>
    <t>Functional</t>
  </si>
  <si>
    <t>Đăng nhập thành công với tài khoản Admin</t>
  </si>
  <si>
    <t>Hiển thị thông báo lỗi khi đăng nhập với tài khoản không tồn tại</t>
  </si>
  <si>
    <t>Tương tác người dùng khi đăng nhập</t>
  </si>
  <si>
    <t>Nhấn thích video sau khi đã đăng nhập thành công</t>
  </si>
  <si>
    <t>Tự động đăng xuất tài khoản người dùng</t>
  </si>
  <si>
    <t>Đăng ký</t>
  </si>
  <si>
    <t>Đăng ký tài khoản mới với dữ liệu đầu vào</t>
  </si>
  <si>
    <t>Đăng ký thành công với đầy đủ dữ liệu hợp lệ</t>
  </si>
  <si>
    <t>Kiểm tra tính hợp lệ của dữ liệu (Validation)</t>
  </si>
  <si>
    <t>Hệ thống báo lỗi khi Họ tên chứa ký tự đặc biệt</t>
  </si>
  <si>
    <t>Hệ thống báo lỗi khi Email chứa định dạng không hợp lệ (vd: 2 ký tự @)</t>
  </si>
  <si>
    <t>Hệ thống báo lỗi khi Mật khẩu dưới 6 ký tự</t>
  </si>
  <si>
    <t>Security / Functional</t>
  </si>
  <si>
    <t>Cho phép đăng ký khi mật khẩu có chữ và trên 6 ký tự</t>
  </si>
  <si>
    <t>Hệ thống báo lỗi khi Mật khẩu và Nhập lại mật khẩu không khớp</t>
  </si>
  <si>
    <t>QUẢN LÝ DANH MỤC</t>
  </si>
  <si>
    <t>Thao tác cơ bản với danh mục</t>
  </si>
  <si>
    <t>Thêm mới tên danh mục với dữ liệu hợp lệ thành công</t>
  </si>
  <si>
    <t>Thay đổi (Sửa) tên danh mục hiện có thành công</t>
  </si>
  <si>
    <t>Xóa tên danh mục khỏi hệ thống thành công</t>
  </si>
  <si>
    <t>Kiểm tra giới hạn và ký tự đặc biệt</t>
  </si>
  <si>
    <t>Thêm danh mục có chứa ký tự đặc biệt và xóa ngay sau đó</t>
  </si>
  <si>
    <t>Kiểm tra độ dài dữ liệu: Thêm danh mục có tên trên 100 ký tự</t>
  </si>
  <si>
    <t>Performance / UI</t>
  </si>
  <si>
    <t>BẢO MẬT PHÂN QUYỀN</t>
  </si>
  <si>
    <t>Ngăn chặn truy cập trái phép trước khi đăng nhập</t>
  </si>
  <si>
    <t>Hệ thống chặn và chuyển hướng khi cố tình truy cập URL Admin</t>
  </si>
  <si>
    <t>Security</t>
  </si>
  <si>
    <t>Hệ thống chặn truy cập URL Quản lý video của Admin</t>
  </si>
  <si>
    <t>Hệ thống chặn truy cập URL Quản lý danh mục của Admin</t>
  </si>
  <si>
    <t>Hệ thống chặn truy cập URL Quản lý tài khoản của Admin</t>
  </si>
  <si>
    <t>Hệ thống chặn truy cập URL Báo cáo thống kê của Admin</t>
  </si>
  <si>
    <t>Hệ thống chặn truy cập URL Dashboard của Admin</t>
  </si>
  <si>
    <t>ĐỔI MẬT KHẨU</t>
  </si>
  <si>
    <t>Đổi mật khẩu hệ thống với tài khoản User</t>
  </si>
  <si>
    <t>Đổi mật khẩu thành công với thông tin hợp lệ</t>
  </si>
  <si>
    <t>Kiểm tra tính hợp lệ của dữ liệu</t>
  </si>
  <si>
    <t>Hiển thị thông báo lỗi khi nhập sai mật khẩu cũ</t>
  </si>
  <si>
    <t>Hiển thị thông báo lỗi (hoặc cho phép) khi mật khẩu mới dài hơn 100 số</t>
  </si>
  <si>
    <t>Boundary</t>
  </si>
  <si>
    <t>Đổi mật khẩu thành công khi mật khẩu mới có chứa ký tự đặc biệt</t>
  </si>
  <si>
    <t>Hiển thị thông báo lỗi khi Mật khẩu mới và Nhập lại mật khẩu không khớp</t>
  </si>
  <si>
    <t>TƯƠNG TÁC VIDEO</t>
  </si>
  <si>
    <t>Tương tác người dùng với video</t>
  </si>
  <si>
    <t>Nhấn yêu thích video thành công và lưu vào danh mục Yêu thích</t>
  </si>
  <si>
    <t>Hủy yêu thích thành công và xóa video khỏi danh mục Yêu thích</t>
  </si>
  <si>
    <t>Chia sẻ video thành công qua Email hợp lệ</t>
  </si>
  <si>
    <t>Hệ thống báo lỗi khi chia sẻ video cho một Email không hợp lệ (ảo)</t>
  </si>
  <si>
    <t>ĐĂNG XUẤT</t>
  </si>
  <si>
    <t>Tương tác người dùng khi đăng xuất</t>
  </si>
  <si>
    <t>Đăng xuất thành công khỏi tài khoản đang dùng</t>
  </si>
  <si>
    <t>QUẢN LÝ VIDEO</t>
  </si>
  <si>
    <t>Quản lý thêm, sửa, xóa Video</t>
  </si>
  <si>
    <t>Thêm mới Video thành công, video xuất hiện ở trang chủ phim mới</t>
  </si>
  <si>
    <t>Kiểm tra tính hợp lệ của dữ liệu Video</t>
  </si>
  <si>
    <t>Hệ thống báo lỗi khi Tiêu đề video dài hơn 100 ký tự</t>
  </si>
  <si>
    <t>Cho phép thêm thành công khi Tiêu đề chứa cả chữ và số</t>
  </si>
  <si>
    <t>Hệ thống báo lỗi khi link Youtube sai định dạng / khác với gợi ý</t>
  </si>
  <si>
    <t>Hệ thống báo lỗi khi link Poster sai định dạng / khác với gợi ý</t>
  </si>
  <si>
    <t>Hệ thống báo lỗi khi Mô tả video vượt quá 500 ký tự</t>
  </si>
  <si>
    <t>Hệ thống báo lỗi khi Đạo diễn vượt quá 100 ký tự</t>
  </si>
  <si>
    <t>Hệ thống báo lỗi / không cho nhập số âm vào ô Năm phát hành</t>
  </si>
  <si>
    <t>Hệ thống báo lỗi / không cho nhập chữ/số thực vào ô Năm phát hành</t>
  </si>
  <si>
    <t>Hệ thống báo lỗi logic khi Năm phát hành lớn hơn năm 2100</t>
  </si>
  <si>
    <t>Chỉnh sửa thành công thông tin của một video đã có</t>
  </si>
  <si>
    <t>Xóa thành công một video khỏi hệ thống</t>
  </si>
  <si>
    <t>QUẢN LÝ TÀI KHOẢN</t>
  </si>
  <si>
    <t>Quản lý thêm, sửa, xóa Tài khoản</t>
  </si>
  <si>
    <t>Thêm mới tài khoản thành công với vai trò User</t>
  </si>
  <si>
    <t>Kiểm tra tính hợp lệ của dữ liệu Tài khoản</t>
  </si>
  <si>
    <t>Hệ thống báo lỗi khi Email chứa 2 ký tự @</t>
  </si>
  <si>
    <t>Hệ thống báo lỗi khi Email thiếu đuôi tên miền (không có @gmail.com)</t>
  </si>
  <si>
    <t>Hệ thống báo lỗi khi Email thiếu đuôi .com</t>
  </si>
  <si>
    <t>Hệ thống báo lỗi khi Email dài hơn 100 ký tự</t>
  </si>
  <si>
    <t>Hệ thống báo lỗi khi Mật khẩu dài hơn 100 ký tự</t>
  </si>
  <si>
    <t>Cho phép thêm thành công khi Mật khẩu chứa đoạn @gmail.com</t>
  </si>
  <si>
    <t>Cho phép thêm thành công khi Họ tên chứa đoạn @gmail.com</t>
  </si>
  <si>
    <t>Hệ thống báo lỗi khi Họ tên dài hơn 100 ký tự</t>
  </si>
  <si>
    <t>Thêm mới tài khoản thành công với vai trò Admin</t>
  </si>
  <si>
    <t>Chỉnh sửa thành công thông tin của một tài khoản đã có</t>
  </si>
  <si>
    <t>Xóa thành công một tài khoản khỏi hệ thống</t>
  </si>
  <si>
    <t>TestCase</t>
  </si>
  <si>
    <t>TestID</t>
  </si>
  <si>
    <t>Mô tả chức năng</t>
  </si>
  <si>
    <t>DỮ LIỆU KIỂM THỬ</t>
  </si>
  <si>
    <t>THAO TÁC THỰC HIỆN</t>
  </si>
  <si>
    <t>KẾT QUẢ MONG MUỐN</t>
  </si>
  <si>
    <t>KẾT QUẢ THỰC TẾ</t>
  </si>
  <si>
    <t>TRẠNG THÁI</t>
  </si>
  <si>
    <t>PHƯƠNG THỨC</t>
  </si>
  <si>
    <t>NGÀY TEST</t>
  </si>
  <si>
    <t>THÀNH VIÊN</t>
  </si>
  <si>
    <t>Mức độ lỗi</t>
  </si>
  <si>
    <t>ĐĂNG NHẬP</t>
  </si>
  <si>
    <t>LG_01</t>
  </si>
  <si>
    <t>Đăng nhập tài khoản hợp lệ</t>
  </si>
  <si>
    <r>
      <t xml:space="preserve">URL: </t>
    </r>
    <r>
      <rPr>
        <u/>
        <sz val="10"/>
        <color rgb="FF1155CC"/>
        <rFont val="Arial"/>
      </rPr>
      <t xml:space="preserve">http://localhost:8080/cinevo-web/cinevo/user?tab=login
</t>
    </r>
    <r>
      <rPr>
        <sz val="10"/>
        <color rgb="FF000000"/>
        <rFont val="Arial"/>
        <scheme val="minor"/>
      </rPr>
      <t>Email: minhanh@gmail.com
MK: pass002</t>
    </r>
  </si>
  <si>
    <t>1, Truy cập link URL.
2, Nhập Email.
3, Nhập MK.</t>
  </si>
  <si>
    <t>Đăng nhập thành công và chuyển sang trang chủ .</t>
  </si>
  <si>
    <t>Đúng với kết quả mong muốn</t>
  </si>
  <si>
    <t>PASS</t>
  </si>
  <si>
    <t>Automation</t>
  </si>
  <si>
    <t>LG_02</t>
  </si>
  <si>
    <t>Thích video khi đã đăng nhập tài khoản người dùng hợp lệ</t>
  </si>
  <si>
    <r>
      <t xml:space="preserve">URL: </t>
    </r>
    <r>
      <rPr>
        <u/>
        <sz val="10"/>
        <color rgb="FF1155CC"/>
        <rFont val="Arial"/>
      </rPr>
      <t xml:space="preserve">http://localhost:8080/cinevo-web/cinevo/user?tab=login
</t>
    </r>
    <r>
      <rPr>
        <sz val="10"/>
        <color rgb="FF000000"/>
        <rFont val="Arial"/>
        <scheme val="minor"/>
      </rPr>
      <t>Email: minhanh@gmail.com
MK: pass002</t>
    </r>
  </si>
  <si>
    <t>1, Truy cập link URL.
2, Nhập Email.
3, Nhập MK.
4, Nhấn vào video.
5, Nhấn vào yêu thích.</t>
  </si>
  <si>
    <t>Hệ thống chuyển từ yêu thích sang đã thích cho video đó</t>
  </si>
  <si>
    <t>LG_03</t>
  </si>
  <si>
    <t>Đăng xuất tài khoản</t>
  </si>
  <si>
    <r>
      <t xml:space="preserve">URL: </t>
    </r>
    <r>
      <rPr>
        <u/>
        <sz val="10"/>
        <color rgb="FF1155CC"/>
        <rFont val="Arial"/>
      </rPr>
      <t xml:space="preserve">http://localhost:8080/cinevo-web/cinevo/user?tab=login
</t>
    </r>
    <r>
      <rPr>
        <sz val="10"/>
        <color rgb="FF000000"/>
        <rFont val="Arial"/>
        <scheme val="minor"/>
      </rPr>
      <t>Email: minhanh@gmail.com
MK: pass002</t>
    </r>
  </si>
  <si>
    <t>1, Truy cập link URL.
2, Nhập Email.
3, Nhập MK.
4, Nhấn vào user góc phải trên cùng.
5, Nhấn vào đăng xuất</t>
  </si>
  <si>
    <t>Thoát tài khoản thành công, về trang chủ.</t>
  </si>
  <si>
    <t>LG_04</t>
  </si>
  <si>
    <t>Thích video khi chưa đăng nhập</t>
  </si>
  <si>
    <r>
      <t xml:space="preserve">URL: </t>
    </r>
    <r>
      <rPr>
        <u/>
        <sz val="10"/>
        <color rgb="FF1155CC"/>
        <rFont val="Arial"/>
      </rPr>
      <t>http://localhost:8080/cinevo-web/cinevo/user?tab=login</t>
    </r>
  </si>
  <si>
    <t>1, Truy cập link URL.
2, Nhấn vào video.
3, Nhấn vào yêu thích.</t>
  </si>
  <si>
    <t>Hệ thống chuyển sang trang đăng nhập</t>
  </si>
  <si>
    <t>LG_05</t>
  </si>
  <si>
    <t>Đăng nhập tài khoản không tồn tại</t>
  </si>
  <si>
    <r>
      <t xml:space="preserve">URL: </t>
    </r>
    <r>
      <rPr>
        <u/>
        <sz val="10"/>
        <color rgb="FF1155CC"/>
        <rFont val="Arial"/>
      </rPr>
      <t xml:space="preserve">http://localhost:8080/cinevo-web/cinevo/user?tab=login
</t>
    </r>
    <r>
      <rPr>
        <sz val="10"/>
        <color rgb="FF000000"/>
        <rFont val="Arial"/>
        <scheme val="minor"/>
      </rPr>
      <t>Email: map@gmail.com
MK: 123456</t>
    </r>
  </si>
  <si>
    <t>Hiển thị thông báo lỗi Email không tồn tại.</t>
  </si>
  <si>
    <t>LG_06</t>
  </si>
  <si>
    <t>Đăng nhập tài khoản Admin</t>
  </si>
  <si>
    <r>
      <t xml:space="preserve">URL: </t>
    </r>
    <r>
      <rPr>
        <u/>
        <sz val="10"/>
        <color rgb="FF1155CC"/>
        <rFont val="Arial"/>
      </rPr>
      <t xml:space="preserve">http://localhost:8080/cinevo-web/cinevo/user?tab=login
</t>
    </r>
    <r>
      <rPr>
        <sz val="10"/>
        <color rgb="FF000000"/>
        <rFont val="Arial"/>
        <scheme val="minor"/>
      </rPr>
      <t>Email: duy@example.com
MK: 123456</t>
    </r>
  </si>
  <si>
    <t>Đăng nhập thành công vào trang quản trị.</t>
  </si>
  <si>
    <t>ĐĂNG KÝ</t>
  </si>
  <si>
    <t>RG_01</t>
  </si>
  <si>
    <t>Đăng ký với dữ liệu hợp lệ</t>
  </si>
  <si>
    <r>
      <t xml:space="preserve">URL: </t>
    </r>
    <r>
      <rPr>
        <u/>
        <sz val="10"/>
        <color rgb="FF1155CC"/>
        <rFont val="Arial"/>
      </rPr>
      <t xml:space="preserve">http://localhost:8080/cinevo-web/cinevo/user?tab=register
</t>
    </r>
    <r>
      <rPr>
        <sz val="10"/>
        <color rgb="FF000000"/>
        <rFont val="Arial"/>
        <scheme val="minor"/>
      </rPr>
      <t>Họ và tên: Lê Hữu Trọng
Email: lehuutrong@gmail.com
MK: zZ0987939607Zz
NLMK: zZ0987939607Zz</t>
    </r>
  </si>
  <si>
    <t>1, Truy cập link URL.
2, Nhập họ và tên.
3, Nhập email.
4, Nhập mk.
5, Nhập nlmk.</t>
  </si>
  <si>
    <t>Tạo tài khoản thành công và hiển thị thông báo đăng ký thành công.</t>
  </si>
  <si>
    <t>RG_02</t>
  </si>
  <si>
    <t>Họ tên chứa ký tự đặc biệt</t>
  </si>
  <si>
    <r>
      <t xml:space="preserve">URL: </t>
    </r>
    <r>
      <rPr>
        <u/>
        <sz val="10"/>
        <color rgb="FF1155CC"/>
        <rFont val="Arial"/>
      </rPr>
      <t xml:space="preserve">http://localhost:8080/cinevo-web/cinevo/user?tab=register
</t>
    </r>
    <r>
      <rPr>
        <sz val="10"/>
        <color rgb="FF000000"/>
        <rFont val="Arial"/>
        <scheme val="minor"/>
      </rPr>
      <t>Họ và tên: Trường @n
Email: an@gmail.com
MK: 123456789
NLMK: 123456789</t>
    </r>
  </si>
  <si>
    <t>Hệ thống báo lỗi dữ liệu họ và tên không hợp lệ.</t>
  </si>
  <si>
    <t>Tạo tài khoản thành công</t>
  </si>
  <si>
    <t>FAIL</t>
  </si>
  <si>
    <t>Major</t>
  </si>
  <si>
    <t>RG_03</t>
  </si>
  <si>
    <t>Email chứa 2 ký tự @</t>
  </si>
  <si>
    <r>
      <t xml:space="preserve">URL: </t>
    </r>
    <r>
      <rPr>
        <u/>
        <sz val="10"/>
        <color rgb="FF1155CC"/>
        <rFont val="Arial"/>
      </rPr>
      <t xml:space="preserve">http://localhost:8080/cinevo-web/cinevo/user?tab=register
</t>
    </r>
    <r>
      <rPr>
        <sz val="10"/>
        <color rgb="FF000000"/>
        <rFont val="Arial"/>
        <scheme val="minor"/>
      </rPr>
      <t>Họ và tên: Trường An
Email: @n@gmail.com
MK: 123456789
NLMK: 123456789</t>
    </r>
  </si>
  <si>
    <t>Hệ thống báo lỗi định dạng email.</t>
  </si>
  <si>
    <t>Không tạo được tài khoản nhưng lại không thông báo lỗi định dạng email</t>
  </si>
  <si>
    <t>Minor</t>
  </si>
  <si>
    <t>RG_04</t>
  </si>
  <si>
    <t>Mật khẩu dưới 6 ký tự</t>
  </si>
  <si>
    <r>
      <t xml:space="preserve">URL: </t>
    </r>
    <r>
      <rPr>
        <u/>
        <sz val="10"/>
        <color rgb="FF1155CC"/>
        <rFont val="Arial"/>
      </rPr>
      <t xml:space="preserve">http://localhost:8080/cinevo-web/cinevo/user?tab=register
</t>
    </r>
    <r>
      <rPr>
        <sz val="10"/>
        <color rgb="FF000000"/>
        <rFont val="Arial"/>
        <scheme val="minor"/>
      </rPr>
      <t>Họ và tên: Trường An
Email: an1@gmail.com
MK: 113
NLMK: 113</t>
    </r>
  </si>
  <si>
    <t>Hệ thống báo lỗi mật khẩu phải từ 6 ký tự.</t>
  </si>
  <si>
    <t>Hệ thống thông báo lỗi mật khẩu ít nhất 6 ký tự nhưng lại mất css trang đăng ký</t>
  </si>
  <si>
    <t>Critical</t>
  </si>
  <si>
    <t>RG_05</t>
  </si>
  <si>
    <t>Mật khẩu có chữ, trên 6 ký tự</t>
  </si>
  <si>
    <r>
      <t xml:space="preserve">URL: </t>
    </r>
    <r>
      <rPr>
        <u/>
        <sz val="10"/>
        <color rgb="FF1155CC"/>
        <rFont val="Arial"/>
      </rPr>
      <t xml:space="preserve">http://localhost:8080/cinevo-web/cinevo/user?tab=register
</t>
    </r>
    <r>
      <rPr>
        <sz val="10"/>
        <color rgb="FF000000"/>
        <rFont val="Arial"/>
        <scheme val="minor"/>
      </rPr>
      <t>Họ và tên: Trường An
Email: an1@gmail.com
MK: zZ123456
NLMK: zZ123456</t>
    </r>
  </si>
  <si>
    <t>Hệ thống chấp nhận mật khẩu, cho phép đăng ký và thông báo đăng ký thành công.</t>
  </si>
  <si>
    <t>RG_06</t>
  </si>
  <si>
    <t>Mật khẩu và mật khẩu nhập lại không trùng khớp</t>
  </si>
  <si>
    <r>
      <t xml:space="preserve">URL: </t>
    </r>
    <r>
      <rPr>
        <u/>
        <sz val="10"/>
        <color rgb="FF1155CC"/>
        <rFont val="Arial"/>
      </rPr>
      <t xml:space="preserve">http://localhost:8080/cinevo-web/cinevo/user?tab=register
</t>
    </r>
    <r>
      <rPr>
        <sz val="10"/>
        <color rgb="FF000000"/>
        <rFont val="Arial"/>
        <scheme val="minor"/>
      </rPr>
      <t>Họ và tên: Trường An
Email: an1@gmail.com
MK: zZ123456
NLMK: zZ123456789</t>
    </r>
  </si>
  <si>
    <t>Hệ thống báo lỗi mật khẩu không khớp.</t>
  </si>
  <si>
    <t>Hệ thống thông báo mật khẩu không khớp nhưng lại mất css trang đăng ký</t>
  </si>
  <si>
    <t>DANH MỤC</t>
  </si>
  <si>
    <t>DM_01</t>
  </si>
  <si>
    <t>Thêm tên danh mục hợp lệ</t>
  </si>
  <si>
    <r>
      <t xml:space="preserve">URL: </t>
    </r>
    <r>
      <rPr>
        <u/>
        <sz val="10"/>
        <color rgb="FF1155CC"/>
        <rFont val="Arial"/>
      </rPr>
      <t xml:space="preserve">http://localhost:8080/cinevo-web/cinevo/admin
</t>
    </r>
    <r>
      <rPr>
        <sz val="10"/>
        <color rgb="FF000000"/>
        <rFont val="Arial"/>
        <scheme val="minor"/>
      </rPr>
      <t>Tên danh mục: 18Plus</t>
    </r>
  </si>
  <si>
    <t>1, Truy cập link URL.
2, Nhập tên danh mục.
3, Nhấn lưu.</t>
  </si>
  <si>
    <t>Hệ thống thông báo tạo thành công và trong danh sách có tên danh mục đó.</t>
  </si>
  <si>
    <t>DM_02</t>
  </si>
  <si>
    <t>Đổi tên danh mục</t>
  </si>
  <si>
    <r>
      <t xml:space="preserve">URL: </t>
    </r>
    <r>
      <rPr>
        <u/>
        <sz val="10"/>
        <color rgb="FF1155CC"/>
        <rFont val="Arial"/>
      </rPr>
      <t xml:space="preserve">http://localhost:8080/cinevo-web/cinevo/admin
</t>
    </r>
    <r>
      <rPr>
        <sz val="10"/>
        <color rgb="FF000000"/>
        <rFont val="Arial"/>
        <scheme val="minor"/>
      </rPr>
      <t>Tên danh mục: 18Plus -&gt; Harem</t>
    </r>
  </si>
  <si>
    <t>1, Truy cập link URL.
2, Nhấn icon edit của 18Plus trong danh sách danh mục.
3, Thay thành tên mới.
4, Nhấn lưu.</t>
  </si>
  <si>
    <t>Hệ thống thông báo cập nhật thành công và tên danh mục cũ thành tên danh mục mới ở danh sách danh mục</t>
  </si>
  <si>
    <t>DM_03</t>
  </si>
  <si>
    <t>Xóa tên danh mục</t>
  </si>
  <si>
    <r>
      <t xml:space="preserve">URL: </t>
    </r>
    <r>
      <rPr>
        <u/>
        <sz val="10"/>
        <color rgb="FF1155CC"/>
        <rFont val="Arial"/>
      </rPr>
      <t xml:space="preserve">http://localhost:8080/cinevo-web/cinevo/admin
</t>
    </r>
    <r>
      <rPr>
        <sz val="10"/>
        <color rgb="FF000000"/>
        <rFont val="Arial"/>
        <scheme val="minor"/>
      </rPr>
      <t>Tên danh mục: Harem</t>
    </r>
  </si>
  <si>
    <t>1, Truy cập link URL.
2, Nhấn icon delete của Harem trong danh sách danh mục.</t>
  </si>
  <si>
    <t>Hệ thống thông báo xóa thành công</t>
  </si>
  <si>
    <t>DM_04</t>
  </si>
  <si>
    <t>Thêm ký tự đặc biệt rồi xóa</t>
  </si>
  <si>
    <r>
      <t xml:space="preserve">URL: </t>
    </r>
    <r>
      <rPr>
        <u/>
        <sz val="10"/>
        <color rgb="FF1155CC"/>
        <rFont val="Arial"/>
      </rPr>
      <t xml:space="preserve">http://localhost:8080/cinevo-web/cinevo/admin
</t>
    </r>
    <r>
      <rPr>
        <sz val="10"/>
        <color rgb="FF000000"/>
        <rFont val="Arial"/>
        <scheme val="minor"/>
      </rPr>
      <t>Tên danh mục: 18+</t>
    </r>
  </si>
  <si>
    <t>1, Truy cập link URL.
2, Nhập tên danh mục.
3, Nhấn lưu.
4, Nhấn icon delete của Harem trong danh sách danh mục.</t>
  </si>
  <si>
    <t>Đầu tiên là hệ thống thông báo tạo thành công rồi sau khi nhấn icon delete thì hệ thống thông báo xóa thành công</t>
  </si>
  <si>
    <t>DM_05</t>
  </si>
  <si>
    <t>Tên danh mục trên 100 ký tự</t>
  </si>
  <si>
    <r>
      <t xml:space="preserve">URL: </t>
    </r>
    <r>
      <rPr>
        <u/>
        <sz val="10"/>
        <color rgb="FF1155CC"/>
        <rFont val="Arial"/>
      </rPr>
      <t xml:space="preserve">http://localhost:8080/cinevo-web/cinevo/admin
</t>
    </r>
    <r>
      <rPr>
        <sz val="10"/>
        <color rgb="FF000000"/>
        <rFont val="Arial"/>
        <scheme val="minor"/>
      </rPr>
      <t xml:space="preserve">Tên danh mục: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Kịch </t>
    </r>
  </si>
  <si>
    <t>Hệ thống báo lỗi.</t>
  </si>
  <si>
    <t>BẢO MẬT</t>
  </si>
  <si>
    <t>BM_01</t>
  </si>
  <si>
    <t>Truy cập URL Admin trái phép</t>
  </si>
  <si>
    <r>
      <t xml:space="preserve">URL: </t>
    </r>
    <r>
      <rPr>
        <u/>
        <sz val="10"/>
        <color rgb="FF1155CC"/>
        <rFont val="Arial"/>
      </rPr>
      <t>http://localhost:8080/cinevo-web/cinevo/admin</t>
    </r>
  </si>
  <si>
    <t>1, Truy cập link URL.</t>
  </si>
  <si>
    <t>Hệ thống chặn truy cập, tự động chuyển hướng về trang Đăng nhập.</t>
  </si>
  <si>
    <t>BM_02</t>
  </si>
  <si>
    <t>Truy cập URL QL Video trái phép</t>
  </si>
  <si>
    <r>
      <rPr>
        <u/>
        <sz val="10"/>
        <color rgb="FF000000"/>
        <rFont val="Arial"/>
      </rPr>
      <t xml:space="preserve">URL:  </t>
    </r>
    <r>
      <rPr>
        <u/>
        <sz val="10"/>
        <color rgb="FF1155CC"/>
        <rFont val="Arial"/>
      </rPr>
      <t>http://localhost:8080/cinevo-web/cinevo/admin?tab=videos</t>
    </r>
  </si>
  <si>
    <t>BM_03</t>
  </si>
  <si>
    <t>Truy cập URL QL Danh mục trái phép</t>
  </si>
  <si>
    <r>
      <t xml:space="preserve">URL: </t>
    </r>
    <r>
      <rPr>
        <u/>
        <sz val="10"/>
        <color rgb="FF1155CC"/>
        <rFont val="Arial"/>
      </rPr>
      <t>http://localhost:8080/cinevo-web/cinevo/admin?tab=category</t>
    </r>
  </si>
  <si>
    <t>BM_04</t>
  </si>
  <si>
    <t>Truy cập URL QL Tài khoản trái phép</t>
  </si>
  <si>
    <r>
      <t xml:space="preserve">URL: </t>
    </r>
    <r>
      <rPr>
        <u/>
        <sz val="10"/>
        <color rgb="FF1155CC"/>
        <rFont val="Arial"/>
      </rPr>
      <t>http://localhost:8080/cinevo-web/cinevo/admin?tab=users</t>
    </r>
  </si>
  <si>
    <t>BM_05</t>
  </si>
  <si>
    <t>Truy cập URL Báo cáo trái phép</t>
  </si>
  <si>
    <r>
      <t xml:space="preserve">URL: </t>
    </r>
    <r>
      <rPr>
        <u/>
        <sz val="10"/>
        <color rgb="FF1155CC"/>
        <rFont val="Arial"/>
      </rPr>
      <t>http://localhost:8080/cinevo-web/cinevo/admin?tab=reports</t>
    </r>
  </si>
  <si>
    <t>BM_06</t>
  </si>
  <si>
    <t>Truy cập URL Dashboard trái phép</t>
  </si>
  <si>
    <r>
      <t xml:space="preserve">URL: </t>
    </r>
    <r>
      <rPr>
        <u/>
        <sz val="10"/>
        <color rgb="FF1155CC"/>
        <rFont val="Arial"/>
      </rPr>
      <t>http://localhost:8080/cinevo-web/cinevo/admin?tab=dashboard</t>
    </r>
  </si>
  <si>
    <t>DMK_01</t>
  </si>
  <si>
    <t>Đổi mật khẩu thành công</t>
  </si>
  <si>
    <r>
      <t xml:space="preserve">URL: </t>
    </r>
    <r>
      <rPr>
        <u/>
        <sz val="10"/>
        <color rgb="FF1155CC"/>
        <rFont val="Arial"/>
      </rPr>
      <t>http://localhost:8080/cinevo-web/user/change-password</t>
    </r>
    <r>
      <rPr>
        <sz val="10"/>
        <color rgb="FF000000"/>
        <rFont val="Arial"/>
        <scheme val="minor"/>
      </rPr>
      <t xml:space="preserve">
Email: minhanh@gmail.com
MK: pass002 
MK mới: 123456789
NLMK mới: 123456789</t>
    </r>
  </si>
  <si>
    <t>1, Truy cập link URL.
2, Nhập Email.
3, Nhập MK.
4, Chọn đổi mật khẩu.
5, Điền form đổi mật khẩu.
6, Nhấn lưu</t>
  </si>
  <si>
    <t>Hiện thông báo "Đổi mật khẩu thành công". MK mới có hiệu lực.</t>
  </si>
  <si>
    <t>DMK_02</t>
  </si>
  <si>
    <t>Đổi MK: Sai mật khẩu cũ</t>
  </si>
  <si>
    <r>
      <t xml:space="preserve">URL: </t>
    </r>
    <r>
      <rPr>
        <u/>
        <sz val="10"/>
        <color rgb="FF1155CC"/>
        <rFont val="Arial"/>
      </rPr>
      <t>http://localhost:8080/cinevo-web/user/change-password</t>
    </r>
    <r>
      <rPr>
        <sz val="10"/>
        <color rgb="FF000000"/>
        <rFont val="Arial"/>
        <scheme val="minor"/>
      </rPr>
      <t xml:space="preserve">
Email: minhanh@gmail.com
MK: 123456789 
MK mới: 012345678
NLMK mới: 012345678</t>
    </r>
  </si>
  <si>
    <t>Hệ thống báo lỗi "Mật khẩu cũ không chính xác", không cho lưu.</t>
  </si>
  <si>
    <t>DMK_03</t>
  </si>
  <si>
    <t>Đổi MK: MK mới quá dài (100 số)</t>
  </si>
  <si>
    <r>
      <t xml:space="preserve">URL: </t>
    </r>
    <r>
      <rPr>
        <u/>
        <sz val="10"/>
        <color rgb="FF1155CC"/>
        <rFont val="Arial"/>
      </rPr>
      <t>http://localhost:8080/cinevo-web/user/change-password</t>
    </r>
    <r>
      <rPr>
        <sz val="10"/>
        <color rgb="FF000000"/>
        <rFont val="Arial"/>
        <scheme val="minor"/>
      </rPr>
      <t xml:space="preserve">
Email: minhanh@gmail.com
MK: 123456789 
MK mới: 12345... (100 ký tự)
NLMK mới: 12345... (100 ký tự)</t>
    </r>
  </si>
  <si>
    <t>Hiển thị thông báo lỗi (vd: "Mật khẩu tối đa 50 ký tự").</t>
  </si>
  <si>
    <t>DMK_04</t>
  </si>
  <si>
    <t>Đổi MK: Có ký tự đặc biệt</t>
  </si>
  <si>
    <r>
      <t xml:space="preserve">URL: </t>
    </r>
    <r>
      <rPr>
        <u/>
        <sz val="10"/>
        <color rgb="FF1155CC"/>
        <rFont val="Arial"/>
      </rPr>
      <t>http://localhost:8080/cinevo-web/user/change-password</t>
    </r>
    <r>
      <rPr>
        <sz val="10"/>
        <color rgb="FF000000"/>
        <rFont val="Arial"/>
        <scheme val="minor"/>
      </rPr>
      <t xml:space="preserve">
Email: minhanh@gmail.com
MK: 123456789 
MK mới: @123456789@
NLMK mới: @123456789@</t>
    </r>
  </si>
  <si>
    <t>Chấp nhận đổi mật khẩu thành công.</t>
  </si>
  <si>
    <t>DMK_05</t>
  </si>
  <si>
    <t>Đổi MK: Nhập lại MK không khớp</t>
  </si>
  <si>
    <r>
      <t xml:space="preserve">URL: </t>
    </r>
    <r>
      <rPr>
        <u/>
        <sz val="10"/>
        <color rgb="FF1155CC"/>
        <rFont val="Arial"/>
      </rPr>
      <t>http://localhost:8080/cinevo-web/user/change-password</t>
    </r>
    <r>
      <rPr>
        <sz val="10"/>
        <color rgb="FF000000"/>
        <rFont val="Arial"/>
        <scheme val="minor"/>
      </rPr>
      <t xml:space="preserve">
Email: minhanh@gmail.com
MK: @123456789@ 
MK mới: 123456789
NLMK mới: 012345678</t>
    </r>
  </si>
  <si>
    <t>Hệ thống báo lỗi "Mật khẩu nhập lại không khớp".</t>
  </si>
  <si>
    <t>TƯƠNG TÁC NGƯỜI DÙNG</t>
  </si>
  <si>
    <t>TTND_01</t>
  </si>
  <si>
    <t>Thích video</t>
  </si>
  <si>
    <r>
      <t xml:space="preserve">URL: </t>
    </r>
    <r>
      <rPr>
        <u/>
        <sz val="10"/>
        <color rgb="FF1155CC"/>
        <rFont val="Arial"/>
      </rPr>
      <t xml:space="preserve">http://localhost:8080/cinevo-web/cinevo/user
 </t>
    </r>
    <r>
      <rPr>
        <sz val="10"/>
        <color rgb="FF000000"/>
        <rFont val="Arial"/>
        <scheme val="minor"/>
      </rPr>
      <t xml:space="preserve">
Email: minhanh@gmail.com
MK: @123456789@ </t>
    </r>
  </si>
  <si>
    <t>1, Truy cập link URL.
2, Nhập Email.
3, Nhập MK.
4, Xem một video bất kỳ.
5, Nhấn thích video đó.
6, Nhấn sang mục yêu thích kiểm tra</t>
  </si>
  <si>
    <t>Nút Yêu thích đổi trạng thái. Video vừa xem xuất hiện trong danh sách Yêu thích.</t>
  </si>
  <si>
    <t>TTND_02</t>
  </si>
  <si>
    <t>Bỏ yêu thích video</t>
  </si>
  <si>
    <r>
      <t xml:space="preserve">URL: </t>
    </r>
    <r>
      <rPr>
        <u/>
        <sz val="10"/>
        <color rgb="FF1155CC"/>
        <rFont val="Arial"/>
      </rPr>
      <t xml:space="preserve">http://localhost:8080/cinevo-web/cinevo/user
 </t>
    </r>
    <r>
      <rPr>
        <sz val="10"/>
        <color rgb="FF000000"/>
        <rFont val="Arial"/>
        <scheme val="minor"/>
      </rPr>
      <t xml:space="preserve">
Email: minhanh@gmail.com
MK: @123456789@ </t>
    </r>
  </si>
  <si>
    <t>1, Truy cập link URL.
2, Nhập Email.
3, Nhập MK.
4, Vào video đã yêu thích.
5, Nhấn nút đã yêu thích.
6, Nhấn sang mục yêu thích kiểm tra</t>
  </si>
  <si>
    <t>Nút trở về trạng thái bình thường. Video biến mất khỏi danh sách.</t>
  </si>
  <si>
    <t>TTND_03</t>
  </si>
  <si>
    <t>Chia sẻ video (Email hợp lệ)</t>
  </si>
  <si>
    <r>
      <t xml:space="preserve">URL: </t>
    </r>
    <r>
      <rPr>
        <u/>
        <sz val="10"/>
        <color rgb="FF1155CC"/>
        <rFont val="Arial"/>
      </rPr>
      <t xml:space="preserve">http://localhost:8080/cinevo-web/cinevo/user
 </t>
    </r>
    <r>
      <rPr>
        <sz val="10"/>
        <color rgb="FF000000"/>
        <rFont val="Arial"/>
        <scheme val="minor"/>
      </rPr>
      <t xml:space="preserve">
Email: minhanh@gmail.com
MK: @123456789@ 
Email chia sẻ: drangonbenaruto@gmail.com</t>
    </r>
  </si>
  <si>
    <t>1, Truy cập link URL.
2, Nhập Email.
3, Nhập MK.
4, Xem một video bất kỳ.
5, Nhấn chia sẻ. 
6, Nhập email.
7, Nhấn gửi</t>
  </si>
  <si>
    <t>Hiển thị thông báo "Chia sẻ thành công".</t>
  </si>
  <si>
    <t>TTND_04</t>
  </si>
  <si>
    <t>Chia sẻ video (Email ảo/lỗi)</t>
  </si>
  <si>
    <r>
      <t xml:space="preserve">URL: </t>
    </r>
    <r>
      <rPr>
        <u/>
        <sz val="10"/>
        <color rgb="FF1155CC"/>
        <rFont val="Arial"/>
      </rPr>
      <t xml:space="preserve">http://localhost:8080/cinevo-web/cinevo/user
 </t>
    </r>
    <r>
      <rPr>
        <sz val="10"/>
        <color rgb="FF000000"/>
        <rFont val="Arial"/>
        <scheme val="minor"/>
      </rPr>
      <t xml:space="preserve">
Email: minhanh@gmail.com
MK: @123456789@ 
Email chia sẻ: trong@gmail.com</t>
    </r>
  </si>
  <si>
    <t>Hệ thống chặn lại, báo lỗi "Email không hợp lệ".</t>
  </si>
  <si>
    <t>TTND_05</t>
  </si>
  <si>
    <r>
      <t xml:space="preserve">URL: </t>
    </r>
    <r>
      <rPr>
        <u/>
        <sz val="10"/>
        <color rgb="FF1155CC"/>
        <rFont val="Arial"/>
      </rPr>
      <t xml:space="preserve">http://localhost:8080/cinevo-web/cinevo/user
 </t>
    </r>
    <r>
      <rPr>
        <sz val="10"/>
        <color rgb="FF000000"/>
        <rFont val="Arial"/>
        <scheme val="minor"/>
      </rPr>
      <t xml:space="preserve">
Email: minhanh@gmail.com
MK: @123456789@ </t>
    </r>
  </si>
  <si>
    <t>1, Truy cập link URL.
2, Nhập Email.
3, Nhập MK.
4, Nhấn đăng xuất</t>
  </si>
  <si>
    <t>Trình duyệt chuyển về trang chủ với trạng thái chưa đăng nhập.</t>
  </si>
  <si>
    <t>QLVD_01</t>
  </si>
  <si>
    <t>Thêm mới Video thành công</t>
  </si>
  <si>
    <r>
      <t xml:space="preserve">URL: </t>
    </r>
    <r>
      <rPr>
        <u/>
        <sz val="10"/>
        <color rgb="FF1155CC"/>
        <rFont val="Arial"/>
      </rPr>
      <t xml:space="preserve">http://localhost:8080/cinevo-web/cinevo/admin?tab=videos
 </t>
    </r>
    <r>
      <rPr>
        <sz val="10"/>
        <color rgb="FF000000"/>
        <rFont val="Arial"/>
        <scheme val="minor"/>
      </rPr>
      <t xml:space="preserve">
Tiêu đề: Tom and Jerry đã lừa CrisDevilGamer 1 cú chí mạng
Link video: https://youtube.com/embed/L6AJQKem_oI
Link poster: https://img.youtube.com/vi/L6AJQKem_oI/maxresdefault.jpg
Mô tả: 
Đạo diễn: Cris Devil Gamer
Năm phát hành: 2025
Danh mục: Hài hước</t>
    </r>
  </si>
  <si>
    <t>1, Truy cập link URL.
2, Nhập tiêu đề.
3, Nhập link video.
4, Nhập link poster.
5, Nhập đạo diễn.
6, Chọn năm phát hành.
7, Chọn danh mục.
8, Nhấn thêm mục.</t>
  </si>
  <si>
    <t>Báo "Thêm thành công". Video xuất hiện trên bảng và hiện ở mục Phim Mới trang chủ.</t>
  </si>
  <si>
    <t>QlVD_02</t>
  </si>
  <si>
    <t>Thêm Video: Tiêu đề &gt; 100 ký tự</t>
  </si>
  <si>
    <r>
      <t xml:space="preserve">URL: </t>
    </r>
    <r>
      <rPr>
        <u/>
        <sz val="10"/>
        <color rgb="FF1155CC"/>
        <rFont val="Arial"/>
      </rPr>
      <t xml:space="preserve">http://localhost:8080/cinevo-web/cinevo/admin?tab=videos
 </t>
    </r>
    <r>
      <rPr>
        <sz val="10"/>
        <color rgb="FF000000"/>
        <rFont val="Arial"/>
        <scheme val="minor"/>
      </rPr>
      <t xml:space="preserve">
Tiêu đề: Tom and Jerry đã lừa CrisDevilGamer 1 cú chí mạng AAAAAAAAAAAAAAAAAAAAAAAAAAAAAAAAAAAAAAAAAAAAAAAAAAAAAAAAAAAAAAAAAAAAAAAAAAAAAAAAAAAAAAAAAAAAAAAAAAAAAAAAAAAAAAAAAAAAAAAAAAAAAAAAAAAAAAAAAAAAAAAAAAAAAAAAAAAAAAAAAAAAAAAAAAAAAAAAAAAAAAAAAAAAAAAAAAAAAAAAAA
Link video: </t>
    </r>
    <r>
      <rPr>
        <u/>
        <sz val="10"/>
        <color rgb="FF1155CC"/>
        <rFont val="Arial"/>
      </rPr>
      <t>https://youtube.com/embed/L6AJQKem_oI</t>
    </r>
    <r>
      <rPr>
        <sz val="10"/>
        <color rgb="FF000000"/>
        <rFont val="Arial"/>
        <scheme val="minor"/>
      </rPr>
      <t xml:space="preserve">
Link poster: https://img.youtube.com/vi/L6AJQKem_oI/maxresdefault.jpg
Mô tả: 
Đạo diễn: Cris Devil Gamer
Năm phát hành: 2025
Danh mục: Hài hước</t>
    </r>
  </si>
  <si>
    <t>Báo lỗi giới hạn ký tự cho tiêu đề.</t>
  </si>
  <si>
    <t>QLVD_03</t>
  </si>
  <si>
    <t>Thêm Video: Sai cách lấy link video theo hướng dẫn</t>
  </si>
  <si>
    <r>
      <t xml:space="preserve">URL: </t>
    </r>
    <r>
      <rPr>
        <u/>
        <sz val="10"/>
        <color rgb="FF1155CC"/>
        <rFont val="Arial"/>
      </rPr>
      <t xml:space="preserve">http://localhost:8080/cinevo-web/cinevo/admin?tab=videos
 </t>
    </r>
    <r>
      <rPr>
        <sz val="10"/>
        <color rgb="FF000000"/>
        <rFont val="Arial"/>
        <scheme val="minor"/>
      </rPr>
      <t xml:space="preserve">
Tiêu đề: (Lair's Bar #2) CrisDevilGamer siêu phản ‪@PhânTíchGame‬ ‪@dungsenpai‬ ‪@ChangDoran2k‬
Link video: https://www.youtube.com/watch?v=FxsA00u4THQ&amp;t=731s
Link poster: </t>
    </r>
    <r>
      <rPr>
        <u/>
        <sz val="10"/>
        <color rgb="FF1155CC"/>
        <rFont val="Arial"/>
      </rPr>
      <t>https://img.youtube.com/vi/FxsA00u4THQ/maxresdefault.jpg</t>
    </r>
    <r>
      <rPr>
        <sz val="10"/>
        <color rgb="FF000000"/>
        <rFont val="Arial"/>
        <scheme val="minor"/>
      </rPr>
      <t xml:space="preserve">
Mô tả: 
Đạo diễn: Cris Devil Gamer
Năm phát hành: 2025
Danh mục: Hài hước</t>
    </r>
  </si>
  <si>
    <t>Báo lỗi "Link Youtube không hợp lệ".</t>
  </si>
  <si>
    <t>QLVD_04</t>
  </si>
  <si>
    <t>Thêm Video: Sai cách lấy link poster theo hướng dẫn</t>
  </si>
  <si>
    <r>
      <t xml:space="preserve">URL: </t>
    </r>
    <r>
      <rPr>
        <u/>
        <sz val="10"/>
        <color rgb="FF1155CC"/>
        <rFont val="Arial"/>
      </rPr>
      <t xml:space="preserve">http://localhost:8080/cinevo-web/cinevo/admin?tab=videos
 </t>
    </r>
    <r>
      <rPr>
        <sz val="10"/>
        <color rgb="FF000000"/>
        <rFont val="Arial"/>
        <scheme val="minor"/>
      </rPr>
      <t xml:space="preserve">
Tiêu đề: (Lair's Bar #2) CrisDevilGamer siêu phản ‪@PhânTíchGame‬ ‪@dungsenpai‬ ‪@ChangDoran2k‬
Link video: </t>
    </r>
    <r>
      <rPr>
        <u/>
        <sz val="10"/>
        <color rgb="FF1155CC"/>
        <rFont val="Arial"/>
      </rPr>
      <t>https://youtube.com/embed/FxsA00u4THQ</t>
    </r>
    <r>
      <rPr>
        <sz val="10"/>
        <color rgb="FF000000"/>
        <rFont val="Arial"/>
        <scheme val="minor"/>
      </rPr>
      <t xml:space="preserve">
Link poster: </t>
    </r>
    <r>
      <rPr>
        <u/>
        <sz val="10"/>
        <color rgb="FF1155CC"/>
        <rFont val="Arial"/>
      </rPr>
      <t>https://i.ytimg.com/vi/FxsA00u4THQ/hq720.jpg?sqp=-oaymwEnCNAFEJQDSFryq4qpAxkIARUAAIhCGAHYAQHiAQoIGBACGAY4AUAB&amp;rs=AOn4CLDHtvF-NRxLMJ-j97Yc_ZpGRM470A</t>
    </r>
    <r>
      <rPr>
        <sz val="10"/>
        <color rgb="FF000000"/>
        <rFont val="Arial"/>
        <scheme val="minor"/>
      </rPr>
      <t xml:space="preserve">
Mô tả: 
Đạo diễn: Cris Devil Gamer
Năm phát hành: 2025
Danh mục: Hài hước</t>
    </r>
  </si>
  <si>
    <t>Báo lỗi "Link Poster không hợp lệ".</t>
  </si>
  <si>
    <t>QLVD_05</t>
  </si>
  <si>
    <t>Thêm Video: Mô tả &gt; 500 ký tự</t>
  </si>
  <si>
    <r>
      <t xml:space="preserve">URL: </t>
    </r>
    <r>
      <rPr>
        <u/>
        <sz val="10"/>
        <color rgb="FF1155CC"/>
        <rFont val="Arial"/>
      </rPr>
      <t xml:space="preserve">http://localhost:8080/cinevo-web/cinevo/admin?tab=videos
 </t>
    </r>
    <r>
      <rPr>
        <sz val="10"/>
        <color rgb="FF000000"/>
        <rFont val="Arial"/>
        <scheme val="minor"/>
      </rPr>
      <t xml:space="preserve">
Tiêu đề: (Lair's Bar #2) CrisDevilGamer siêu phản ‪@PhânTíchGame‬ ‪@dungsenpai‬ ‪@ChangDoran2k‬
Link video: </t>
    </r>
    <r>
      <rPr>
        <u/>
        <sz val="10"/>
        <color rgb="FF1155CC"/>
        <rFont val="Arial"/>
      </rPr>
      <t>https://youtube.com/embed/FxsA00u4THQ</t>
    </r>
    <r>
      <rPr>
        <sz val="10"/>
        <color rgb="FF000000"/>
        <rFont val="Arial"/>
        <scheme val="minor"/>
      </rPr>
      <t xml:space="preserve">
Link poster: </t>
    </r>
    <r>
      <rPr>
        <u/>
        <sz val="10"/>
        <color rgb="FF1155CC"/>
        <rFont val="Arial"/>
      </rPr>
      <t>https://i.ytimg.com/vi/FxsA00u4THQ/hq720.jpg?sqp=-oaymwEnCNAFEJQDSFryq4qpAxkIARUAAIhCGAHYAQHiAQoIGBACGAY4AUAB&amp;rs=AOn4CLDHtvF-NRxLMJ-j97Yc_ZpGRM470A</t>
    </r>
    <r>
      <rPr>
        <sz val="10"/>
        <color rgb="FF000000"/>
        <rFont val="Arial"/>
        <scheme val="minor"/>
      </rPr>
      <t xml:space="preserve">
Mô tả: (&gt;500 chữ)
Đạo diễn: Cris Devil Gamer
Năm phát hành: 2025
Danh mục: Hài hước</t>
    </r>
  </si>
  <si>
    <t>1, Truy cập link URL.
2, Nhập tiêu đề.
3, Nhập link video.
4, Nhập link poster.
5, Nhập mô tả
6, Nhập đạo diễn.
7, Chọn năm phát hành.
8, Chọn danh mục.
9, Nhấn thêm mục.</t>
  </si>
  <si>
    <t>Báo lỗi vượt quá ký tự cho phép của mô tả.</t>
  </si>
  <si>
    <t>QLVD_06</t>
  </si>
  <si>
    <t>Thêm Video: Đạo diễn &gt; 100 ký tự</t>
  </si>
  <si>
    <r>
      <t xml:space="preserve">URL: </t>
    </r>
    <r>
      <rPr>
        <u/>
        <sz val="10"/>
        <color rgb="FF1155CC"/>
        <rFont val="Arial"/>
      </rPr>
      <t xml:space="preserve">http://localhost:8080/cinevo-web/cinevo/admin?tab=videos
 </t>
    </r>
    <r>
      <rPr>
        <sz val="10"/>
        <color rgb="FF000000"/>
        <rFont val="Arial"/>
        <scheme val="minor"/>
      </rPr>
      <t xml:space="preserve">
Tiêu đề: (Lair's Bar #2) CrisDevilGamer siêu phản ‪@PhânTíchGame‬ ‪@dungsenpai‬ ‪@ChangDoran2k‬
Link video: </t>
    </r>
    <r>
      <rPr>
        <u/>
        <sz val="10"/>
        <color rgb="FF1155CC"/>
        <rFont val="Arial"/>
      </rPr>
      <t>https://youtube.com/embed/FxsA00u4THQ</t>
    </r>
    <r>
      <rPr>
        <sz val="10"/>
        <color rgb="FF000000"/>
        <rFont val="Arial"/>
        <scheme val="minor"/>
      </rPr>
      <t xml:space="preserve">
Link poster: </t>
    </r>
    <r>
      <rPr>
        <u/>
        <sz val="10"/>
        <color rgb="FF1155CC"/>
        <rFont val="Arial"/>
      </rPr>
      <t>https://i.ytimg.com/vi/FxsA00u4THQ/hq720.jpg?sqp=-oaymwEnCNAFEJQDSFryq4qpAxkIARUAAIhCGAHYAQHiAQoIGBACGAY4AUAB&amp;rs=AOn4CLDHtvF-NRxLMJ-j97Yc_ZpGRM470A</t>
    </r>
    <r>
      <rPr>
        <sz val="10"/>
        <color rgb="FF000000"/>
        <rFont val="Arial"/>
        <scheme val="minor"/>
      </rPr>
      <t xml:space="preserve">
Mô tả:
Đạo diễn: (&gt;100 ký tự)
Năm phát hành: 2025
Danh mục: Hài hước</t>
    </r>
  </si>
  <si>
    <t>Báo lỗi vượt quá ký tự cho phép.</t>
  </si>
  <si>
    <t>QLVD_07</t>
  </si>
  <si>
    <t>Thêm Video: Năm phát hành số âm</t>
  </si>
  <si>
    <r>
      <t xml:space="preserve">URL: </t>
    </r>
    <r>
      <rPr>
        <u/>
        <sz val="10"/>
        <color rgb="FF1155CC"/>
        <rFont val="Arial"/>
      </rPr>
      <t xml:space="preserve">http://localhost:8080/cinevo-web/cinevo/admin?tab=videos
 </t>
    </r>
    <r>
      <rPr>
        <sz val="10"/>
        <color rgb="FF000000"/>
        <rFont val="Arial"/>
        <scheme val="minor"/>
      </rPr>
      <t xml:space="preserve">
Tiêu đề: Tom and Jerry đã lừa CrisDevilGamer 1 cú chí mạng
Link video: https://youtube.com/embed/L6AJQKem_oI
Link poster: https://img.youtube.com/vi/L6AJQKem_oI/maxresdefault.jpg
Mô tả: 
Đạo diễn: Cris Devil Gamer
Năm phát hành: -9999
Danh mục: Hài hước</t>
    </r>
  </si>
  <si>
    <t>Báo lỗi "Năm phát hành không hợp lệ".</t>
  </si>
  <si>
    <t>QLVD_08</t>
  </si>
  <si>
    <t>Thêm Video: Năm &gt; 9999</t>
  </si>
  <si>
    <r>
      <t xml:space="preserve">URL: </t>
    </r>
    <r>
      <rPr>
        <u/>
        <sz val="10"/>
        <color rgb="FF1155CC"/>
        <rFont val="Arial"/>
      </rPr>
      <t xml:space="preserve">http://localhost:8080/cinevo-web/cinevo/admin?tab=videos
 </t>
    </r>
    <r>
      <rPr>
        <sz val="10"/>
        <color rgb="FF000000"/>
        <rFont val="Arial"/>
        <scheme val="minor"/>
      </rPr>
      <t xml:space="preserve">
Tiêu đề: Tom and Jerry đã lừa CrisDevilGamer 1 cú chí mạng
Link video: https://youtube.com/embed/L6AJQKem_oI
Link poster: https://img.youtube.com/vi/L6AJQKem_oI/maxresdefault.jpg
Mô tả: 
Đạo diễn: Cris Devil Gamer
Năm phát hành: 9999
Danh mục: Hài hước</t>
    </r>
  </si>
  <si>
    <t>QLVD_09</t>
  </si>
  <si>
    <t>Chỉnh sửa Video</t>
  </si>
  <si>
    <r>
      <t xml:space="preserve">URL: </t>
    </r>
    <r>
      <rPr>
        <u/>
        <sz val="10"/>
        <color rgb="FF1155CC"/>
        <rFont val="Arial"/>
      </rPr>
      <t xml:space="preserve">http://localhost:8080/cinevo-web/cinevo/admin?tab=videos
 </t>
    </r>
    <r>
      <rPr>
        <sz val="10"/>
        <color rgb="FF000000"/>
        <rFont val="Arial"/>
        <scheme val="minor"/>
      </rPr>
      <t xml:space="preserve">
Tiêu đề: Tom and Jerry đã lừa CrisDevilGamer 1 cú chí mạng -&gt; (Lair's Bar #2) CrisDevilGamer siêu phản ‪@PhânTíchGame‬ ‪@dungsenpai‬ ‪@ChangDoran2k‬
Link video: </t>
    </r>
    <r>
      <rPr>
        <u/>
        <sz val="10"/>
        <color rgb="FF1155CC"/>
        <rFont val="Arial"/>
      </rPr>
      <t>https://youtube.com/embed/FxsA00u4THQ</t>
    </r>
    <r>
      <rPr>
        <sz val="10"/>
        <color rgb="FF000000"/>
        <rFont val="Arial"/>
        <scheme val="minor"/>
      </rPr>
      <t xml:space="preserve">
Link poster: </t>
    </r>
    <r>
      <rPr>
        <u/>
        <sz val="10"/>
        <color rgb="FF1155CC"/>
        <rFont val="Arial"/>
      </rPr>
      <t>https://img.youtube.com/vi/FxsA00u4THQ/maxresdefault.jpg</t>
    </r>
    <r>
      <rPr>
        <sz val="10"/>
        <color rgb="FF000000"/>
        <rFont val="Arial"/>
        <scheme val="minor"/>
      </rPr>
      <t xml:space="preserve">
Mô tả: 
Đạo diễn: Cris Devil Gamer
Năm phát hành: 2025
Danh mục: Hài hước</t>
    </r>
  </si>
  <si>
    <t>1, Truy cập link URL.
2, Nhấn icon edit
3, Nhập tiêu đề.
4, Nhập link video.
5, Nhập link poster.
6, Nhập mô tả
7, Nhập đạo diễn.
8, Chọn năm phát hành.
9, Chọn danh mục.
10, Nhấn thêm mục.</t>
  </si>
  <si>
    <t>Cập nhật lại thành thông tin mới mới vào bảng. Báo "Sửa thành công".</t>
  </si>
  <si>
    <t>QLVD_10</t>
  </si>
  <si>
    <t>Xóa Video</t>
  </si>
  <si>
    <r>
      <t xml:space="preserve">URL: </t>
    </r>
    <r>
      <rPr>
        <u/>
        <sz val="10"/>
        <color rgb="FF1155CC"/>
        <rFont val="Arial"/>
      </rPr>
      <t xml:space="preserve">http://localhost:8080/cinevo-web/cinevo/admin?tab=videos
 </t>
    </r>
    <r>
      <rPr>
        <sz val="10"/>
        <color rgb="FF000000"/>
        <rFont val="Arial"/>
        <scheme val="minor"/>
      </rPr>
      <t xml:space="preserve">
Tiêu đề: Tom and Jerry đã lừa CrisDevilGamer 1 cú chí mạng -&gt; (Lair's Bar #2) CrisDevilGamer siêu phản ‪@PhânTíchGame‬ ‪@dungsenpai‬ ‪@ChangDoran2k‬
Link video: </t>
    </r>
    <r>
      <rPr>
        <u/>
        <sz val="10"/>
        <color rgb="FF1155CC"/>
        <rFont val="Arial"/>
      </rPr>
      <t>https://youtube.com/embed/FxsA00u4THQ</t>
    </r>
    <r>
      <rPr>
        <sz val="10"/>
        <color rgb="FF000000"/>
        <rFont val="Arial"/>
        <scheme val="minor"/>
      </rPr>
      <t xml:space="preserve">
Link poster: </t>
    </r>
    <r>
      <rPr>
        <u/>
        <sz val="10"/>
        <color rgb="FF1155CC"/>
        <rFont val="Arial"/>
      </rPr>
      <t>https://img.youtube.com/vi/FxsA00u4THQ/maxresdefault.jpg</t>
    </r>
    <r>
      <rPr>
        <sz val="10"/>
        <color rgb="FF000000"/>
        <rFont val="Arial"/>
        <scheme val="minor"/>
      </rPr>
      <t xml:space="preserve">
Mô tả: 
Đạo diễn: Cris Devil Gamer
Năm phát hành: 2025
Danh mục: Hài hước</t>
    </r>
  </si>
  <si>
    <t>1, Truy cập link URL.
2, Nhấn icon xóa</t>
  </si>
  <si>
    <t>Báo "Xóa thành công". Video biến mất khỏi bảng và trang chủ.</t>
  </si>
  <si>
    <t>QLTK_01</t>
  </si>
  <si>
    <t>Thêm mới TK User thành công</t>
  </si>
  <si>
    <t>1, Nhập email.
2, Nhập mk.
3, Nhập họ tên.
4, Chọn user.
5, Nhấn Lưu</t>
  </si>
  <si>
    <t>Tạo thành công. Tài khoản có thể login với quyền User. Và có trong danh sách quản lý user</t>
  </si>
  <si>
    <t>QLTK_02</t>
  </si>
  <si>
    <t>Thêm TK: Email chứa hai dấu @</t>
  </si>
  <si>
    <t>Báo lỗi định dạng Email.</t>
  </si>
  <si>
    <t>QLTK_03</t>
  </si>
  <si>
    <t>Thêm TK: Email thiếu @gmail</t>
  </si>
  <si>
    <t>QLTK_04</t>
  </si>
  <si>
    <t>Thêm TK: Email thiếu đuôi .com</t>
  </si>
  <si>
    <t>QLTK_05</t>
  </si>
  <si>
    <t>Thêm TK: Email &gt; 100 ký tự</t>
  </si>
  <si>
    <t>Báo lỗi vượt quá giới hạn ký tự.</t>
  </si>
  <si>
    <t>QLTK_06</t>
  </si>
  <si>
    <t>Thêm TK: Mật khẩu &gt; 100 ký tự</t>
  </si>
  <si>
    <t>QLTK_07</t>
  </si>
  <si>
    <t>Thêm TK: MK chứa chữ @gmail</t>
  </si>
  <si>
    <t>Tạo thành công.</t>
  </si>
  <si>
    <t>QLTK_08</t>
  </si>
  <si>
    <t>Thêm TK: Tên chứa @gmail</t>
  </si>
  <si>
    <t>QLTK_09</t>
  </si>
  <si>
    <t>Thêm TK: Họ tên &gt; 100 ký tự</t>
  </si>
  <si>
    <t>QLTK_10</t>
  </si>
  <si>
    <t>Thêm mới TK Admin thành công</t>
  </si>
  <si>
    <t>Tạo thành công. Tài khoản có thể login với quyền Admin. Và có trong danh sách quản lý user</t>
  </si>
  <si>
    <t>QLTK_11</t>
  </si>
  <si>
    <t>Chỉnh sửa Tài khoản</t>
  </si>
  <si>
    <t>1, Nhấn icon edit
1, Nhập email.
2, Nhập mk.
3, Nhập họ tên.
4, Chọn admin.
5, Nhấn Lưu</t>
  </si>
  <si>
    <t>Báo Cập nhật thành công.</t>
  </si>
  <si>
    <t>QLTK_12</t>
  </si>
  <si>
    <t>Xóa Tài khoản</t>
  </si>
  <si>
    <t>1, Nhấn icon xóa</t>
  </si>
  <si>
    <t>Tài khoản không còn ở bảng. Báo Xóa thành công.</t>
  </si>
  <si>
    <t>Trạng thái</t>
  </si>
  <si>
    <t>Số lượng</t>
  </si>
  <si>
    <t>Thành viên</t>
  </si>
  <si>
    <t>Sl</t>
  </si>
  <si>
    <t>Xong</t>
  </si>
  <si>
    <t>Chưa xong</t>
  </si>
  <si>
    <t>CHƯA TEST</t>
  </si>
  <si>
    <t>TEST XONG</t>
  </si>
  <si>
    <t>SỐ LƯỢNG</t>
  </si>
  <si>
    <t>Kịch Bản (Mô tả)</t>
  </si>
  <si>
    <t>Họ Tên</t>
  </si>
  <si>
    <t>Email</t>
  </si>
  <si>
    <t>Mật Khẩu</t>
  </si>
  <si>
    <t>Vai Trò</t>
  </si>
  <si>
    <t>Thêm User chuẩn</t>
  </si>
  <si>
    <t>trong@gmail.com</t>
  </si>
  <si>
    <t>User</t>
  </si>
  <si>
    <t>Email có 2 chữ @</t>
  </si>
  <si>
    <t>Trọng Lỗi</t>
  </si>
  <si>
    <t>trong@@gmail.com</t>
  </si>
  <si>
    <t>Email thiếu .com</t>
  </si>
  <si>
    <t>trong@gmail</t>
  </si>
  <si>
    <t>duy@example.com</t>
  </si>
  <si>
    <t>Mật khẩu</t>
  </si>
  <si>
    <t>Email thiếu @gmail</t>
  </si>
  <si>
    <t>trong.com</t>
  </si>
  <si>
    <t>Email có hơn 100 ký tự</t>
  </si>
  <si>
    <t>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gmail.com</t>
  </si>
  <si>
    <t>MK có hơn 100 ký tự</t>
  </si>
  <si>
    <t>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123456abcabcabcabccccccc</t>
  </si>
  <si>
    <t>MK có @gmail</t>
  </si>
  <si>
    <t>Trọng pass</t>
  </si>
  <si>
    <t>trongpass1@gmail.com</t>
  </si>
  <si>
    <t>trongbeo1@gmail.com</t>
  </si>
  <si>
    <t>123456@gmail</t>
  </si>
  <si>
    <t>Họ tên có @gmail</t>
  </si>
  <si>
    <t>Trọng @gmail pass</t>
  </si>
  <si>
    <t>trongpass2@gmail.com</t>
  </si>
  <si>
    <t>Họ tên hơn 100 ký tự</t>
  </si>
  <si>
    <t>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lỗiTrọng lỗi</t>
  </si>
  <si>
    <t>Thêm Admin chuẩn</t>
  </si>
  <si>
    <t>Admin Trọng</t>
  </si>
  <si>
    <t>admintrong@gmail.com</t>
  </si>
  <si>
    <t>Admin</t>
  </si>
  <si>
    <t>Ảnh</t>
  </si>
  <si>
    <t>FAIL - Xem ảnh: FAIL_TC_ThemTK_Th_m_User_chu_n.png</t>
  </si>
  <si>
    <t>FAIL - Xem ảnh: FAIL_TC_ThemTK_Email_c__2_ch___.png</t>
  </si>
  <si>
    <t>FAIL - Xem ảnh: FAIL_TC_ThemTK_Email_thi_u__gmail.png</t>
  </si>
  <si>
    <t>FAIL - Xem ảnh: FAIL_TC_ThemTK_Email_thi_u__com.png</t>
  </si>
  <si>
    <t>FAIL - Xem ảnh: FAIL_TC_ThemTK_Email_c__h_n_100_k__t_.png</t>
  </si>
  <si>
    <t>FAIL - Xem ảnh: FAIL_TC_ThemTK_MK_c__h_n_100_k__t_.png</t>
  </si>
  <si>
    <t>FAIL - Xem ảnh: FAIL_TC_ThemTK_MK_c___gmail.png</t>
  </si>
  <si>
    <t>FAIL - Xem ảnh: FAIL_TC_ThemTK_H__t_n_c___gmail.png</t>
  </si>
  <si>
    <t>FAIL - Xem ảnh: FAIL_TC_ThemTK_H__t_n_h_n_100_k__t_.png</t>
  </si>
  <si>
    <t>FAIL - Xem ảnh: FAIL_TC_ThemTK_Th_m_Admin_chu_n.png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</si>
</sst>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0"/>
  <fonts count="10" x14ac:knownFonts="1">
    <font>
      <sz val="10"/>
      <color rgb="FF000000"/>
      <name val="Arial"/>
      <scheme val="minor"/>
    </font>
    <font>
      <b/>
      <sz val="10"/>
      <color theme="1"/>
      <name val="Arial"/>
      <scheme val="minor"/>
    </font>
    <font>
      <sz val="10"/>
      <color theme="1"/>
      <name val="Arial"/>
      <scheme val="minor"/>
    </font>
    <font>
      <u/>
      <sz val="10"/>
      <color rgb="FF0000FF"/>
      <name val="Roboto"/>
    </font>
    <font>
      <u/>
      <sz val="10"/>
      <color rgb="FF434343"/>
      <name val="Roboto"/>
    </font>
    <font>
      <u/>
      <sz val="10"/>
      <color rgb="FF1155CC"/>
      <name val="Arial"/>
    </font>
    <font>
      <u/>
      <sz val="10"/>
      <color rgb="FF000000"/>
      <name val="Arial"/>
    </font>
    <font>
      <sz val="10"/>
      <color rgb="FF1F1F1F"/>
      <name val="Arial"/>
      <family val="2"/>
      <scheme val="minor"/>
    </font>
    <font>
      <b/>
      <sz val="10"/>
      <color rgb="FF1F1F1F"/>
      <name val="Arial"/>
      <family val="2"/>
      <scheme val="minor"/>
    </font>
    <font>
      <u/>
      <sz val="10"/>
      <color theme="10"/>
      <name val="Arial"/>
      <scheme val="minor"/>
    </font>
  </fonts>
  <fills count="11">
    <fill>
      <patternFill patternType="none"/>
    </fill>
    <fill>
      <patternFill patternType="gray125"/>
    </fill>
    <fill>
      <patternFill patternType="solid">
        <fgColor rgb="FF6D9EEB"/>
        <bgColor rgb="FF6D9EEB"/>
      </patternFill>
    </fill>
    <fill>
      <patternFill patternType="solid">
        <fgColor rgb="FFD0E0E3"/>
        <bgColor rgb="FFD0E0E3"/>
      </patternFill>
    </fill>
    <fill>
      <patternFill patternType="solid">
        <fgColor rgb="FFA2C4C9"/>
        <bgColor rgb="FFA2C4C9"/>
      </patternFill>
    </fill>
    <fill>
      <patternFill patternType="solid">
        <fgColor rgb="FF76A5AF"/>
        <bgColor rgb="FF76A5AF"/>
      </patternFill>
    </fill>
    <fill>
      <patternFill patternType="solid">
        <fgColor rgb="FFC9DAF8"/>
        <bgColor rgb="FFC9DAF8"/>
      </patternFill>
    </fill>
    <fill>
      <patternFill patternType="solid">
        <fgColor rgb="FFA4C2F4"/>
        <bgColor rgb="FFA4C2F4"/>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s>
  <borders count="12">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11">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vertical="center" wrapText="1"/>
    </xf>
    <xf numFmtId="0" fontId="1" fillId="0" borderId="2" xfId="0" applyFont="1" applyBorder="1" applyAlignment="1">
      <alignment horizontal="center" vertical="center"/>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vertical="center" wrapText="1"/>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14" fontId="2" fillId="2" borderId="2" xfId="0" applyNumberFormat="1" applyFont="1" applyFill="1" applyBorder="1" applyAlignment="1">
      <alignment horizontal="center" vertical="center"/>
    </xf>
    <xf numFmtId="0" fontId="2" fillId="2" borderId="2" xfId="0" applyFont="1" applyFill="1" applyBorder="1" applyAlignment="1">
      <alignment vertical="center" wrapText="1"/>
    </xf>
    <xf numFmtId="0" fontId="1" fillId="2" borderId="0" xfId="0" applyFont="1" applyFill="1" applyAlignment="1">
      <alignment horizontal="center" vertical="center"/>
    </xf>
    <xf numFmtId="0" fontId="2" fillId="2" borderId="0" xfId="0" applyFont="1" applyFill="1" applyAlignment="1">
      <alignment horizontal="center" vertical="center"/>
    </xf>
    <xf numFmtId="14" fontId="2" fillId="2" borderId="0" xfId="0" applyNumberFormat="1" applyFont="1" applyFill="1" applyAlignment="1">
      <alignment horizontal="center" vertical="center"/>
    </xf>
    <xf numFmtId="0" fontId="2" fillId="2" borderId="0" xfId="0" applyFont="1" applyFill="1" applyAlignment="1">
      <alignment vertical="center" wrapText="1"/>
    </xf>
    <xf numFmtId="0" fontId="1" fillId="2" borderId="3" xfId="0" applyFont="1" applyFill="1" applyBorder="1" applyAlignment="1">
      <alignment horizontal="center" vertical="center"/>
    </xf>
    <xf numFmtId="0" fontId="2" fillId="0" borderId="3" xfId="0" applyFont="1" applyBorder="1" applyAlignment="1">
      <alignment horizontal="center" vertical="center"/>
    </xf>
    <xf numFmtId="0" fontId="2" fillId="2" borderId="3" xfId="0" applyFont="1" applyFill="1" applyBorder="1" applyAlignment="1">
      <alignment horizontal="center" vertical="center"/>
    </xf>
    <xf numFmtId="14" fontId="2" fillId="2" borderId="3" xfId="0" applyNumberFormat="1" applyFont="1" applyFill="1" applyBorder="1" applyAlignment="1">
      <alignment horizontal="center" vertical="center"/>
    </xf>
    <xf numFmtId="0" fontId="2" fillId="2" borderId="3" xfId="0" applyFont="1" applyFill="1" applyBorder="1" applyAlignment="1">
      <alignment vertical="center" wrapText="1"/>
    </xf>
    <xf numFmtId="0" fontId="1" fillId="3" borderId="0" xfId="0" applyFont="1" applyFill="1" applyAlignment="1">
      <alignment horizontal="center" vertical="center"/>
    </xf>
    <xf numFmtId="0" fontId="2" fillId="3" borderId="4" xfId="0" applyFont="1" applyFill="1" applyBorder="1" applyAlignment="1">
      <alignment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2" fillId="3" borderId="5" xfId="0"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6" xfId="0" applyFont="1" applyFill="1" applyBorder="1" applyAlignment="1">
      <alignment horizontal="center" vertical="center"/>
    </xf>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2" fillId="4" borderId="0" xfId="0" applyFont="1" applyFill="1" applyAlignment="1">
      <alignment vertical="center" wrapText="1"/>
    </xf>
    <xf numFmtId="0" fontId="2" fillId="4" borderId="0" xfId="0" applyFont="1" applyFill="1" applyAlignment="1">
      <alignment horizontal="center" vertical="center" wrapText="1"/>
    </xf>
    <xf numFmtId="0" fontId="1" fillId="5" borderId="7" xfId="0" applyFont="1" applyFill="1" applyBorder="1" applyAlignment="1">
      <alignment horizontal="center" vertical="center" wrapText="1"/>
    </xf>
    <xf numFmtId="0" fontId="2" fillId="5" borderId="2" xfId="0" applyFont="1" applyFill="1" applyBorder="1" applyAlignment="1">
      <alignment vertical="center" wrapText="1"/>
    </xf>
    <xf numFmtId="0" fontId="2" fillId="5" borderId="2"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2" fillId="5" borderId="0" xfId="0" applyFont="1" applyFill="1" applyAlignment="1">
      <alignment vertical="center" wrapText="1"/>
    </xf>
    <xf numFmtId="0" fontId="2" fillId="5" borderId="0" xfId="0" applyFont="1" applyFill="1" applyAlignment="1">
      <alignment horizontal="center" vertical="center" wrapText="1"/>
    </xf>
    <xf numFmtId="0" fontId="1" fillId="6" borderId="6" xfId="0" applyFont="1" applyFill="1" applyBorder="1" applyAlignment="1">
      <alignment horizontal="center" vertical="center" wrapText="1"/>
    </xf>
    <xf numFmtId="0" fontId="2" fillId="6" borderId="0" xfId="0" applyFont="1" applyFill="1" applyAlignment="1">
      <alignment vertical="center" wrapText="1"/>
    </xf>
    <xf numFmtId="0" fontId="2" fillId="6" borderId="0" xfId="0" applyFont="1" applyFill="1" applyAlignment="1">
      <alignment horizontal="center" vertical="center" wrapText="1"/>
    </xf>
    <xf numFmtId="0" fontId="1" fillId="7" borderId="7" xfId="0" applyFont="1" applyFill="1" applyBorder="1" applyAlignment="1">
      <alignment horizontal="center" vertical="center" wrapText="1"/>
    </xf>
    <xf numFmtId="0" fontId="2" fillId="7" borderId="2" xfId="0" applyFont="1" applyFill="1" applyBorder="1" applyAlignment="1">
      <alignment vertical="center" wrapText="1"/>
    </xf>
    <xf numFmtId="0" fontId="2" fillId="7" borderId="2"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2" fillId="7" borderId="0" xfId="0" applyFont="1" applyFill="1" applyAlignment="1">
      <alignment vertical="center" wrapText="1"/>
    </xf>
    <xf numFmtId="0" fontId="2" fillId="7" borderId="0" xfId="0" applyFont="1" applyFill="1" applyAlignment="1">
      <alignment horizontal="center" vertical="center" wrapText="1"/>
    </xf>
    <xf numFmtId="0" fontId="1" fillId="2" borderId="6" xfId="0" applyFont="1" applyFill="1" applyBorder="1" applyAlignment="1">
      <alignment horizontal="center" vertical="center" wrapText="1"/>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1"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2" fillId="8" borderId="0" xfId="0" applyFont="1" applyFill="1" applyAlignment="1">
      <alignment vertical="center" wrapText="1"/>
    </xf>
    <xf numFmtId="0" fontId="2" fillId="8" borderId="0" xfId="0" applyFont="1" applyFill="1" applyAlignment="1">
      <alignment horizontal="center" vertical="center" wrapText="1"/>
    </xf>
    <xf numFmtId="0" fontId="2" fillId="8" borderId="2" xfId="0" applyFont="1" applyFill="1" applyBorder="1" applyAlignment="1">
      <alignment vertical="center" wrapText="1"/>
    </xf>
    <xf numFmtId="0" fontId="2" fillId="8" borderId="2"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2" fillId="9" borderId="2" xfId="0" applyFont="1" applyFill="1" applyBorder="1" applyAlignment="1">
      <alignment vertical="center" wrapText="1"/>
    </xf>
    <xf numFmtId="0" fontId="2" fillId="9" borderId="2"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2" fillId="9" borderId="0" xfId="0" applyFont="1" applyFill="1" applyAlignment="1">
      <alignment vertical="center" wrapText="1"/>
    </xf>
    <xf numFmtId="0" fontId="2" fillId="9"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4"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2" fillId="10" borderId="4" xfId="0" applyFont="1" applyFill="1" applyBorder="1" applyAlignment="1">
      <alignment horizontal="center" vertical="center"/>
    </xf>
    <xf numFmtId="0" fontId="2" fillId="0" borderId="0" xfId="0" applyFont="1" applyAlignment="1">
      <alignment horizontal="center" vertical="center" wrapText="1"/>
    </xf>
    <xf numFmtId="14" fontId="2" fillId="0" borderId="0" xfId="0" applyNumberFormat="1" applyFont="1" applyAlignment="1">
      <alignment horizontal="center" vertical="center" wrapText="1"/>
    </xf>
    <xf numFmtId="0" fontId="8" fillId="0" borderId="8" xfId="0" applyFont="1" applyBorder="1" applyAlignment="1">
      <alignment vertical="center" wrapText="1" readingOrder="1"/>
    </xf>
    <xf numFmtId="0" fontId="7" fillId="0" borderId="8" xfId="0" applyFont="1" applyBorder="1" applyAlignment="1">
      <alignment vertical="center" wrapText="1" readingOrder="1"/>
    </xf>
    <xf numFmtId="0" fontId="9" fillId="0" borderId="8" xfId="1" applyBorder="1" applyAlignment="1">
      <alignment vertical="center" wrapText="1" readingOrder="1"/>
    </xf>
    <xf numFmtId="0" fontId="9" fillId="0" borderId="0" xfId="1" applyAlignment="1"/>
    <xf numFmtId="0" fontId="7" fillId="0" borderId="9" xfId="0" applyFont="1" applyBorder="1" applyAlignment="1">
      <alignment vertical="center" wrapText="1" readingOrder="1"/>
    </xf>
    <xf numFmtId="0" fontId="9" fillId="0" borderId="9" xfId="1" applyBorder="1" applyAlignment="1">
      <alignment vertical="center" wrapText="1" readingOrder="1"/>
    </xf>
    <xf numFmtId="0" fontId="0" fillId="0" borderId="9" xfId="0" applyFont="1" applyBorder="1" applyAlignment="1"/>
    <xf numFmtId="0" fontId="0" fillId="0" borderId="9" xfId="0" applyFont="1" applyBorder="1" applyAlignment="1">
      <alignment wrapText="1"/>
    </xf>
    <xf numFmtId="0" fontId="9" fillId="0" borderId="9" xfId="1" applyBorder="1" applyAlignment="1">
      <alignment wrapText="1"/>
    </xf>
    <xf numFmtId="0" fontId="7" fillId="0" borderId="9" xfId="0" applyFont="1" applyBorder="1" applyAlignment="1">
      <alignment horizontal="center" vertical="center" wrapText="1" readingOrder="1"/>
    </xf>
    <xf numFmtId="0" fontId="0" fillId="0" borderId="9" xfId="0" applyFont="1" applyBorder="1" applyAlignment="1">
      <alignment horizontal="center"/>
    </xf>
    <xf numFmtId="0" fontId="7" fillId="0" borderId="11" xfId="0" applyFont="1" applyBorder="1" applyAlignment="1">
      <alignment horizontal="center" vertical="center" wrapText="1" readingOrder="1"/>
    </xf>
    <xf numFmtId="0" fontId="0" fillId="0" borderId="9" xfId="0" applyFont="1" applyBorder="1" applyAlignment="1">
      <alignment horizontal="center" vertical="center"/>
    </xf>
    <xf numFmtId="0" fontId="7" fillId="0" borderId="9" xfId="0" applyFont="1" applyFill="1" applyBorder="1" applyAlignment="1">
      <alignment horizontal="center" vertical="center" wrapText="1" readingOrder="1"/>
    </xf>
    <xf numFmtId="0" fontId="9" fillId="0" borderId="9" xfId="1" applyBorder="1" applyAlignment="1"/>
    <xf numFmtId="0" fontId="9" fillId="0" borderId="9" xfId="1" applyBorder="1" applyAlignment="1">
      <alignment horizontal="center" vertical="center"/>
    </xf>
    <xf numFmtId="0" fontId="7" fillId="0" borderId="11" xfId="0" applyFont="1" applyBorder="1" applyAlignment="1">
      <alignment vertical="center" wrapText="1" readingOrder="1"/>
    </xf>
    <xf numFmtId="0" fontId="9" fillId="0" borderId="11" xfId="1" applyBorder="1" applyAlignment="1">
      <alignment vertical="center" wrapText="1" readingOrder="1"/>
    </xf>
    <xf numFmtId="0" fontId="8" fillId="0" borderId="10" xfId="0" applyFont="1" applyBorder="1" applyAlignment="1">
      <alignment horizontal="center" vertical="center" wrapText="1" readingOrder="1"/>
    </xf>
    <xf numFmtId="0" fontId="8" fillId="0" borderId="10" xfId="0" applyFont="1" applyFill="1" applyBorder="1" applyAlignment="1">
      <alignment horizontal="center" vertical="center" wrapText="1" readingOrder="1"/>
    </xf>
    <xf numFmtId="0" fontId="0" fillId="0" borderId="0" xfId="0" applyFont="1" applyAlignment="1">
      <alignment wrapText="1"/>
    </xf>
  </cellXfs>
  <cellStyles count="2">
    <cellStyle name="Hyperlink" xfId="1" builtinId="8"/>
    <cellStyle name="Normal" xfId="0" builtinId="0"/>
  </cellStyles>
  <dxfs count="20">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5">
    <tableStyle name="TestPlan-style" pivot="0" count="4" xr9:uid="{00000000-0011-0000-FFFF-FFFF00000000}">
      <tableStyleElement type="wholeTable" size="0" dxfId="19"/>
      <tableStyleElement type="headerRow" dxfId="18"/>
      <tableStyleElement type="firstRowStripe" dxfId="17"/>
      <tableStyleElement type="secondRowStripe" dxfId="16"/>
    </tableStyle>
    <tableStyle name="TestDesign-style" pivot="0" count="4" xr9:uid="{00000000-0011-0000-FFFF-FFFF01000000}">
      <tableStyleElement type="wholeTable" size="0" dxfId="15"/>
      <tableStyleElement type="headerRow" dxfId="14"/>
      <tableStyleElement type="firstRowStripe" dxfId="13"/>
      <tableStyleElement type="secondRowStripe" dxfId="12"/>
    </tableStyle>
    <tableStyle name="TestCase-style" pivot="0" count="4" xr9:uid="{00000000-0011-0000-FFFF-FFFF02000000}">
      <tableStyleElement type="wholeTable" size="0" dxfId="11"/>
      <tableStyleElement type="headerRow" dxfId="10"/>
      <tableStyleElement type="firstRowStripe" dxfId="9"/>
      <tableStyleElement type="secondRowStripe" dxfId="8"/>
    </tableStyle>
    <tableStyle name="TestReport-style" pivot="0" count="4" xr9:uid="{00000000-0011-0000-FFFF-FFFF03000000}">
      <tableStyleElement type="wholeTable" size="0" dxfId="7"/>
      <tableStyleElement type="headerRow" dxfId="6"/>
      <tableStyleElement type="firstRowStripe" dxfId="5"/>
      <tableStyleElement type="secondRowStripe" dxfId="4"/>
    </tableStyle>
    <tableStyle name="TestReport-style 2" pivot="0" count="4" xr9:uid="{00000000-0011-0000-FFFF-FFFF04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calcChain.xml" Type="http://schemas.openxmlformats.org/officeDocument/2006/relationships/calcChain"/><Relationship Id="rId12" Target="persons/person.xml" Type="http://schemas.microsoft.com/office/2017/10/relationships/person"/><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BIỂU ĐỒ SO GIỮ PASS VÀ FAIL</a:t>
            </a:r>
          </a:p>
        </c:rich>
      </c:tx>
      <c:overlay val="0"/>
    </c:title>
    <c:autoTitleDeleted val="0"/>
    <c:plotArea>
      <c:layout/>
      <c:pieChart>
        <c:varyColors val="1"/>
        <c:ser>
          <c:idx val="0"/>
          <c:order val="0"/>
          <c:tx>
            <c:strRef>
              <c:f>TestReport!$B$1</c:f>
              <c:strCache>
                <c:ptCount val="1"/>
                <c:pt idx="0">
                  <c:v>Số lượng</c:v>
                </c:pt>
              </c:strCache>
            </c:strRef>
          </c:tx>
          <c:dPt>
            <c:idx val="0"/>
            <c:bubble3D val="0"/>
            <c:spPr>
              <a:solidFill>
                <a:srgbClr val="4285F4"/>
              </a:solidFill>
            </c:spPr>
            <c:extLst>
              <c:ext xmlns:c16="http://schemas.microsoft.com/office/drawing/2014/chart" uri="{C3380CC4-5D6E-409C-BE32-E72D297353CC}">
                <c16:uniqueId val="{00000001-0FD4-4083-AB99-98E2C649DFF0}"/>
              </c:ext>
            </c:extLst>
          </c:dPt>
          <c:dPt>
            <c:idx val="1"/>
            <c:bubble3D val="0"/>
            <c:spPr>
              <a:solidFill>
                <a:srgbClr val="EA4335"/>
              </a:solidFill>
            </c:spPr>
            <c:extLst>
              <c:ext xmlns:c16="http://schemas.microsoft.com/office/drawing/2014/chart" uri="{C3380CC4-5D6E-409C-BE32-E72D297353CC}">
                <c16:uniqueId val="{00000003-0FD4-4083-AB99-98E2C649DFF0}"/>
              </c:ext>
            </c:extLst>
          </c:dPt>
          <c:cat>
            <c:strRef>
              <c:f>TestReport!$A$2:$A$3</c:f>
              <c:strCache>
                <c:ptCount val="2"/>
                <c:pt idx="0">
                  <c:v>PASS</c:v>
                </c:pt>
                <c:pt idx="1">
                  <c:v>FAIL</c:v>
                </c:pt>
              </c:strCache>
            </c:strRef>
          </c:cat>
          <c:val>
            <c:numRef>
              <c:f>TestReport!$B$2:$B$3</c:f>
              <c:numCache>
                <c:formatCode>General</c:formatCode>
                <c:ptCount val="2"/>
                <c:pt idx="0">
                  <c:v>14</c:v>
                </c:pt>
                <c:pt idx="1">
                  <c:v>5</c:v>
                </c:pt>
              </c:numCache>
            </c:numRef>
          </c:val>
          <c:extLst>
            <c:ext xmlns:c16="http://schemas.microsoft.com/office/drawing/2014/chart" uri="{C3380CC4-5D6E-409C-BE32-E72D297353CC}">
              <c16:uniqueId val="{00000004-0FD4-4083-AB99-98E2C649DFF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BIỂU ĐỒ SO TEST VÀ CHƯA TEST VỚI SỐ LƯỢNG TEST CASE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TestReport!$A$4:$A$6</c:f>
              <c:strCache>
                <c:ptCount val="3"/>
                <c:pt idx="0">
                  <c:v>CHƯA TEST</c:v>
                </c:pt>
                <c:pt idx="1">
                  <c:v>TEST XONG</c:v>
                </c:pt>
                <c:pt idx="2">
                  <c:v>SỐ LƯỢNG</c:v>
                </c:pt>
              </c:strCache>
            </c:strRef>
          </c:cat>
          <c:val>
            <c:numRef>
              <c:f>TestReport!$B$4:$B$6</c:f>
              <c:numCache>
                <c:formatCode>General</c:formatCode>
                <c:ptCount val="3"/>
                <c:pt idx="0">
                  <c:v>36</c:v>
                </c:pt>
                <c:pt idx="1">
                  <c:v>19</c:v>
                </c:pt>
                <c:pt idx="2">
                  <c:v>55</c:v>
                </c:pt>
              </c:numCache>
            </c:numRef>
          </c:val>
          <c:extLst>
            <c:ext xmlns:c14="http://schemas.microsoft.com/office/drawing/2007/8/2/chart" uri="{6F2FDCE9-48DA-4B69-8628-5D25D57E5C99}">
              <c14:invertSolidFillFmt>
                <c14:spPr>
                  <a:solidFill>
                    <a:srgbClr val="FFFFFF"/>
                  </a:solidFill>
                  <a:ln cmpd="sng">
                    <a:solidFill>
                      <a:srgbClr val="000000"/>
                    </a:solidFill>
                  </a:ln>
                </c14:spPr>
              </c14:invertSolidFillFmt>
            </c:ext>
            <c:ext xmlns:c16="http://schemas.microsoft.com/office/drawing/2014/chart" uri="{C3380CC4-5D6E-409C-BE32-E72D297353CC}">
              <c16:uniqueId val="{00000000-5CD8-4531-8C6E-AC4C5CB1C052}"/>
            </c:ext>
          </c:extLst>
        </c:ser>
        <c:dLbls>
          <c:showLegendKey val="0"/>
          <c:showVal val="0"/>
          <c:showCatName val="0"/>
          <c:showSerName val="0"/>
          <c:showPercent val="0"/>
          <c:showBubbleSize val="0"/>
        </c:dLbls>
        <c:gapWidth val="150"/>
        <c:axId val="1896097652"/>
        <c:axId val="474640766"/>
      </c:barChart>
      <c:catAx>
        <c:axId val="18960976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Trạng thái</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74640766"/>
        <c:crosses val="autoZero"/>
        <c:auto val="1"/>
        <c:lblAlgn val="ctr"/>
        <c:lblOffset val="100"/>
        <c:noMultiLvlLbl val="1"/>
      </c:catAx>
      <c:valAx>
        <c:axId val="474640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Số lượng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9609765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Sl, Xong và Chưa xong</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TestReport!$D$2:$D$7</c:f>
              <c:strCache>
                <c:ptCount val="6"/>
                <c:pt idx="0">
                  <c:v>Châu Nhật Duy</c:v>
                </c:pt>
                <c:pt idx="1">
                  <c:v>Nguyễn Thế Ngữ</c:v>
                </c:pt>
                <c:pt idx="2">
                  <c:v>Nguyễn Bích Trâm</c:v>
                </c:pt>
                <c:pt idx="3">
                  <c:v>Võ Thị Thúy Ngân</c:v>
                </c:pt>
                <c:pt idx="4">
                  <c:v>Vũ Đỗ Trường Kỳ</c:v>
                </c:pt>
                <c:pt idx="5">
                  <c:v>Lê Hữu Trọng</c:v>
                </c:pt>
              </c:strCache>
            </c:strRef>
          </c:cat>
          <c:val>
            <c:numRef>
              <c:f>TestReport!$E$2:$E$7</c:f>
              <c:numCache>
                <c:formatCode>General</c:formatCode>
                <c:ptCount val="6"/>
                <c:pt idx="0">
                  <c:v>8</c:v>
                </c:pt>
                <c:pt idx="1">
                  <c:v>7</c:v>
                </c:pt>
                <c:pt idx="2">
                  <c:v>9</c:v>
                </c:pt>
                <c:pt idx="3">
                  <c:v>8</c:v>
                </c:pt>
                <c:pt idx="4">
                  <c:v>9</c:v>
                </c:pt>
                <c:pt idx="5">
                  <c:v>14</c:v>
                </c:pt>
              </c:numCache>
            </c:numRef>
          </c:val>
          <c:extLst>
            <c:ext xmlns:c14="http://schemas.microsoft.com/office/drawing/2007/8/2/chart" uri="{6F2FDCE9-48DA-4B69-8628-5D25D57E5C99}">
              <c14:invertSolidFillFmt>
                <c14:spPr>
                  <a:solidFill>
                    <a:srgbClr val="FFFFFF"/>
                  </a:solidFill>
                  <a:ln cmpd="sng">
                    <a:solidFill>
                      <a:srgbClr val="000000"/>
                    </a:solidFill>
                  </a:ln>
                </c14:spPr>
              </c14:invertSolidFillFmt>
            </c:ext>
            <c:ext xmlns:c16="http://schemas.microsoft.com/office/drawing/2014/chart" uri="{C3380CC4-5D6E-409C-BE32-E72D297353CC}">
              <c16:uniqueId val="{00000000-76EC-4D36-AB4F-31B4B8596A83}"/>
            </c:ext>
          </c:extLst>
        </c:ser>
        <c:ser>
          <c:idx val="1"/>
          <c:order val="1"/>
          <c:spPr>
            <a:solidFill>
              <a:srgbClr val="EA4335"/>
            </a:solidFill>
            <a:ln cmpd="sng">
              <a:solidFill>
                <a:srgbClr val="000000"/>
              </a:solidFill>
            </a:ln>
          </c:spPr>
          <c:invertIfNegative val="1"/>
          <c:cat>
            <c:strRef>
              <c:f>TestReport!$D$2:$D$7</c:f>
              <c:strCache>
                <c:ptCount val="6"/>
                <c:pt idx="0">
                  <c:v>Châu Nhật Duy</c:v>
                </c:pt>
                <c:pt idx="1">
                  <c:v>Nguyễn Thế Ngữ</c:v>
                </c:pt>
                <c:pt idx="2">
                  <c:v>Nguyễn Bích Trâm</c:v>
                </c:pt>
                <c:pt idx="3">
                  <c:v>Võ Thị Thúy Ngân</c:v>
                </c:pt>
                <c:pt idx="4">
                  <c:v>Vũ Đỗ Trường Kỳ</c:v>
                </c:pt>
                <c:pt idx="5">
                  <c:v>Lê Hữu Trọng</c:v>
                </c:pt>
              </c:strCache>
            </c:strRef>
          </c:cat>
          <c:val>
            <c:numRef>
              <c:f>TestReport!$F$2:$F$7</c:f>
              <c:numCache>
                <c:formatCode>General</c:formatCode>
                <c:ptCount val="6"/>
                <c:pt idx="0">
                  <c:v>5</c:v>
                </c:pt>
                <c:pt idx="1">
                  <c:v>3</c:v>
                </c:pt>
                <c:pt idx="2">
                  <c:v>3</c:v>
                </c:pt>
                <c:pt idx="3">
                  <c:v>3</c:v>
                </c:pt>
                <c:pt idx="4">
                  <c:v>3</c:v>
                </c:pt>
                <c:pt idx="5">
                  <c:v>2</c:v>
                </c:pt>
              </c:numCache>
            </c:numRef>
          </c:val>
          <c:extLst>
            <c:ext xmlns:c14="http://schemas.microsoft.com/office/drawing/2007/8/2/chart" uri="{6F2FDCE9-48DA-4B69-8628-5D25D57E5C99}">
              <c14:invertSolidFillFmt>
                <c14:spPr>
                  <a:solidFill>
                    <a:srgbClr val="FFFFFF"/>
                  </a:solidFill>
                  <a:ln cmpd="sng">
                    <a:solidFill>
                      <a:srgbClr val="000000"/>
                    </a:solidFill>
                  </a:ln>
                </c14:spPr>
              </c14:invertSolidFillFmt>
            </c:ext>
            <c:ext xmlns:c16="http://schemas.microsoft.com/office/drawing/2014/chart" uri="{C3380CC4-5D6E-409C-BE32-E72D297353CC}">
              <c16:uniqueId val="{00000001-76EC-4D36-AB4F-31B4B8596A83}"/>
            </c:ext>
          </c:extLst>
        </c:ser>
        <c:ser>
          <c:idx val="2"/>
          <c:order val="2"/>
          <c:spPr>
            <a:solidFill>
              <a:srgbClr val="FBBC04"/>
            </a:solidFill>
            <a:ln cmpd="sng">
              <a:solidFill>
                <a:srgbClr val="000000"/>
              </a:solidFill>
            </a:ln>
          </c:spPr>
          <c:invertIfNegative val="1"/>
          <c:cat>
            <c:strRef>
              <c:f>TestReport!$D$2:$D$7</c:f>
              <c:strCache>
                <c:ptCount val="6"/>
                <c:pt idx="0">
                  <c:v>Châu Nhật Duy</c:v>
                </c:pt>
                <c:pt idx="1">
                  <c:v>Nguyễn Thế Ngữ</c:v>
                </c:pt>
                <c:pt idx="2">
                  <c:v>Nguyễn Bích Trâm</c:v>
                </c:pt>
                <c:pt idx="3">
                  <c:v>Võ Thị Thúy Ngân</c:v>
                </c:pt>
                <c:pt idx="4">
                  <c:v>Vũ Đỗ Trường Kỳ</c:v>
                </c:pt>
                <c:pt idx="5">
                  <c:v>Lê Hữu Trọng</c:v>
                </c:pt>
              </c:strCache>
            </c:strRef>
          </c:cat>
          <c:val>
            <c:numRef>
              <c:f>TestReport!$G$2:$G$7</c:f>
              <c:numCache>
                <c:formatCode>General</c:formatCode>
                <c:ptCount val="6"/>
                <c:pt idx="0">
                  <c:v>3</c:v>
                </c:pt>
                <c:pt idx="1">
                  <c:v>4</c:v>
                </c:pt>
                <c:pt idx="2">
                  <c:v>6</c:v>
                </c:pt>
                <c:pt idx="3">
                  <c:v>5</c:v>
                </c:pt>
                <c:pt idx="4">
                  <c:v>6</c:v>
                </c:pt>
                <c:pt idx="5">
                  <c:v>12</c:v>
                </c:pt>
              </c:numCache>
            </c:numRef>
          </c:val>
          <c:extLst>
            <c:ext xmlns:c14="http://schemas.microsoft.com/office/drawing/2007/8/2/chart" uri="{6F2FDCE9-48DA-4B69-8628-5D25D57E5C99}">
              <c14:invertSolidFillFmt>
                <c14:spPr>
                  <a:solidFill>
                    <a:srgbClr val="FFFFFF"/>
                  </a:solidFill>
                  <a:ln cmpd="sng">
                    <a:solidFill>
                      <a:srgbClr val="000000"/>
                    </a:solidFill>
                  </a:ln>
                </c14:spPr>
              </c14:invertSolidFillFmt>
            </c:ext>
            <c:ext xmlns:c16="http://schemas.microsoft.com/office/drawing/2014/chart" uri="{C3380CC4-5D6E-409C-BE32-E72D297353CC}">
              <c16:uniqueId val="{00000002-76EC-4D36-AB4F-31B4B8596A83}"/>
            </c:ext>
          </c:extLst>
        </c:ser>
        <c:dLbls>
          <c:showLegendKey val="0"/>
          <c:showVal val="0"/>
          <c:showCatName val="0"/>
          <c:showSerName val="0"/>
          <c:showPercent val="0"/>
          <c:showBubbleSize val="0"/>
        </c:dLbls>
        <c:gapWidth val="150"/>
        <c:axId val="481824682"/>
        <c:axId val="574614005"/>
      </c:barChart>
      <c:catAx>
        <c:axId val="481824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Thành viên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74614005"/>
        <c:crosses val="autoZero"/>
        <c:auto val="1"/>
        <c:lblAlgn val="ctr"/>
        <c:lblOffset val="100"/>
        <c:noMultiLvlLbl val="1"/>
      </c:catAx>
      <c:valAx>
        <c:axId val="5746140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81824682"/>
        <c:crosses val="autoZero"/>
        <c:crossBetween val="between"/>
      </c:valAx>
    </c:plotArea>
    <c:legend>
      <c:legendPos val="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no"?><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 Id="rId3" Target="../charts/chart3.xml" Type="http://schemas.openxmlformats.org/officeDocument/2006/relationships/chart"/></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180975</xdr:rowOff>
    </xdr:from>
    <xdr:ext cx="5715000" cy="3533775"/>
    <xdr:graphicFrame macro="">
      <xdr:nvGraphicFramePr>
        <xdr:cNvPr id="2" name="Chart 1" title="Biểu đồ">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923925</xdr:colOff>
      <xdr:row>0</xdr:row>
      <xdr:rowOff>0</xdr:rowOff>
    </xdr:from>
    <xdr:ext cx="5715000" cy="3533775"/>
    <xdr:graphicFrame macro="">
      <xdr:nvGraphicFramePr>
        <xdr:cNvPr id="3" name="Chart 2" title="Biểu đồ">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495300</xdr:colOff>
      <xdr:row>0</xdr:row>
      <xdr:rowOff>0</xdr:rowOff>
    </xdr:from>
    <xdr:ext cx="5715000" cy="3533775"/>
    <xdr:graphicFrame macro="">
      <xdr:nvGraphicFramePr>
        <xdr:cNvPr id="4" name="Chart 3" title="Biểu đồ">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Plan" displayName="TestPlan" ref="A1:G58">
  <autoFilter ref="A1:G58" xr:uid="{00000000-0009-0000-0100-000001000000}"/>
  <tableColumns count="7">
    <tableColumn id="1" xr3:uid="{00000000-0010-0000-0000-000001000000}" name="STT"/>
    <tableColumn id="2" xr3:uid="{00000000-0010-0000-0000-000002000000}" name="Đảm nhiệm"/>
    <tableColumn id="3" xr3:uid="{00000000-0010-0000-0000-000003000000}" name="Dự kiến"/>
    <tableColumn id="4" xr3:uid="{00000000-0010-0000-0000-000004000000}" name="Bắt đầu"/>
    <tableColumn id="5" xr3:uid="{00000000-0010-0000-0000-000005000000}" name="Kết thúc"/>
    <tableColumn id="6" xr3:uid="{00000000-0010-0000-0000-000006000000}" name="Mục tiêu"/>
    <tableColumn id="7" xr3:uid="{00000000-0010-0000-0000-000007000000}" name="Kiểm thử"/>
  </tableColumns>
  <tableStyleInfo name="TestPla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stDesign" displayName="TestDesign" ref="A1:D57">
  <autoFilter ref="A1:D57" xr:uid="{00000000-0009-0000-0100-000002000000}"/>
  <tableColumns count="4">
    <tableColumn id="1" xr3:uid="{00000000-0010-0000-0100-000001000000}" name="Chức năng"/>
    <tableColumn id="2" xr3:uid="{00000000-0010-0000-0100-000002000000}" name="Yêu cầu"/>
    <tableColumn id="3" xr3:uid="{00000000-0010-0000-0100-000003000000}" name="Tiêu chí kiểm thử"/>
    <tableColumn id="4" xr3:uid="{00000000-0010-0000-0100-000004000000}" name="Loại kiểm thử"/>
  </tableColumns>
  <tableStyleInfo name="TestDesig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port" displayName="Report" ref="A1:B6">
  <tableColumns count="2">
    <tableColumn id="1" xr3:uid="{00000000-0010-0000-0300-000001000000}" name="Trạng thái"/>
    <tableColumn id="2" xr3:uid="{00000000-0010-0000-0300-000002000000}" name="Số lượng"/>
  </tableColumns>
  <tableStyleInfo name="Test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L_Test_của_thành_viên" displayName="SL_Test_của_thành_viên" ref="D1:G7">
  <tableColumns count="4">
    <tableColumn id="1" xr3:uid="{00000000-0010-0000-0400-000001000000}" name="Thành viên"/>
    <tableColumn id="2" xr3:uid="{00000000-0010-0000-0400-000002000000}" name="Sl"/>
    <tableColumn id="3" xr3:uid="{00000000-0010-0000-0400-000003000000}" name="Xong"/>
    <tableColumn id="4" xr3:uid="{00000000-0010-0000-0400-000004000000}" name="Chưa xong"/>
  </tableColumns>
  <tableStyleInfo name="TestReport-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stCase" displayName="TestCase" ref="A1:L56">
  <autoFilter ref="A1:L56" xr:uid="{00000000-0009-0000-0100-000003000000}">
    <filterColumn colId="10">
      <filters>
        <filter val="Lê Hữu Trọng"/>
      </filters>
    </filterColumn>
  </autoFilter>
  <tableColumns count="12">
    <tableColumn id="1" xr3:uid="{00000000-0010-0000-0200-000001000000}" name="TestCase"/>
    <tableColumn id="2" xr3:uid="{00000000-0010-0000-0200-000002000000}" name="TestID"/>
    <tableColumn id="3" xr3:uid="{00000000-0010-0000-0200-000003000000}" name="Mô tả chức năng"/>
    <tableColumn id="4" xr3:uid="{00000000-0010-0000-0200-000004000000}" name="DỮ LIỆU KIỂM THỬ"/>
    <tableColumn id="5" xr3:uid="{00000000-0010-0000-0200-000005000000}" name="THAO TÁC THỰC HIỆN"/>
    <tableColumn id="6" xr3:uid="{00000000-0010-0000-0200-000006000000}" name="KẾT QUẢ MONG MUỐN"/>
    <tableColumn id="7" xr3:uid="{00000000-0010-0000-0200-000007000000}" name="KẾT QUẢ THỰC TẾ"/>
    <tableColumn id="8" xr3:uid="{00000000-0010-0000-0200-000008000000}" name="TRẠNG THÁI"/>
    <tableColumn id="9" xr3:uid="{00000000-0010-0000-0200-000009000000}" name="PHƯƠNG THỨC"/>
    <tableColumn id="10" xr3:uid="{00000000-0010-0000-0200-00000A000000}" name="NGÀY TEST"/>
    <tableColumn id="11" xr3:uid="{00000000-0010-0000-0200-00000B000000}" name="THÀNH VIÊN"/>
    <tableColumn id="12" xr3:uid="{00000000-0010-0000-0200-00000C000000}" name="Mức độ lỗi"/>
  </tableColumns>
  <tableStyleInfo name="TestC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tables/table1.xml" Type="http://schemas.openxmlformats.org/officeDocument/2006/relationships/table"/></Relationships>
</file>

<file path=xl/worksheets/_rels/sheet2.xml.rels><?xml version="1.0" encoding="UTF-8" standalone="no"?><Relationships xmlns="http://schemas.openxmlformats.org/package/2006/relationships"><Relationship Id="rId1" Target="../tables/table2.xml" Type="http://schemas.openxmlformats.org/officeDocument/2006/relationships/table"/></Relationships>
</file>

<file path=xl/worksheets/_rels/sheet3.xml.rels><?xml version="1.0" encoding="UTF-8" standalone="no"?><Relationships xmlns="http://schemas.openxmlformats.org/package/2006/relationships"><Relationship Id="rId1" Target="../drawings/drawing1.xml" Type="http://schemas.openxmlformats.org/officeDocument/2006/relationships/drawing"/><Relationship Id="rId2" Target="../tables/table3.xml" Type="http://schemas.openxmlformats.org/officeDocument/2006/relationships/table"/><Relationship Id="rId3" Target="../tables/table4.xml" Type="http://schemas.openxmlformats.org/officeDocument/2006/relationships/table"/></Relationships>
</file>

<file path=xl/worksheets/_rels/sheet4.xml.rels><?xml version="1.0" encoding="UTF-8" standalone="no"?><Relationships xmlns="http://schemas.openxmlformats.org/package/2006/relationships"><Relationship Id="rId1" Target="http://localhost:8080/cinevo-web/cinevo/user?tab=login" TargetMode="External" Type="http://schemas.openxmlformats.org/officeDocument/2006/relationships/hyperlink"/><Relationship Id="rId10" Target="http://localhost:8080/cinevo-web/cinevo/user?tab=login" TargetMode="External" Type="http://schemas.openxmlformats.org/officeDocument/2006/relationships/hyperlink"/><Relationship Id="rId11" Target="http://localhost:8080/cinevo-web/cinevo/user?tab=login" TargetMode="External" Type="http://schemas.openxmlformats.org/officeDocument/2006/relationships/hyperlink"/><Relationship Id="rId12" Target="http://localhost:8080/cinevo-web/cinevo/user?tab=login" TargetMode="External" Type="http://schemas.openxmlformats.org/officeDocument/2006/relationships/hyperlink"/><Relationship Id="rId13" Target="http://localhost:8080/cinevo-web/cinevo/user?tab=login" TargetMode="External" Type="http://schemas.openxmlformats.org/officeDocument/2006/relationships/hyperlink"/><Relationship Id="rId14" Target="http://localhost:8080/cinevo-web/cinevo/user?tab=login" TargetMode="External" Type="http://schemas.openxmlformats.org/officeDocument/2006/relationships/hyperlink"/><Relationship Id="rId15" Target="http://localhost:8080/cinevo-web/cinevo/user?tab=login" TargetMode="External" Type="http://schemas.openxmlformats.org/officeDocument/2006/relationships/hyperlink"/><Relationship Id="rId16" Target="http://localhost:8080/cinevo-web/cinevo/user?tab=login" TargetMode="External" Type="http://schemas.openxmlformats.org/officeDocument/2006/relationships/hyperlink"/><Relationship Id="rId17" Target="http://localhost:8080/cinevo-web/cinevo/user?tab=login" TargetMode="External" Type="http://schemas.openxmlformats.org/officeDocument/2006/relationships/hyperlink"/><Relationship Id="rId18" Target="http://localhost:8080/cinevo-web/cinevo/admin" TargetMode="External" Type="http://schemas.openxmlformats.org/officeDocument/2006/relationships/hyperlink"/><Relationship Id="rId19" Target="http://localhost:8080/cinevo-web/cinevo/admin?tab=videos" TargetMode="External" Type="http://schemas.openxmlformats.org/officeDocument/2006/relationships/hyperlink"/><Relationship Id="rId2" Target="http://localhost:8080/cinevo-web/cinevo/user?tab=login" TargetMode="External" Type="http://schemas.openxmlformats.org/officeDocument/2006/relationships/hyperlink"/><Relationship Id="rId20" Target="http://localhost:8080/cinevo-web/cinevo/admin?tab=category" TargetMode="External" Type="http://schemas.openxmlformats.org/officeDocument/2006/relationships/hyperlink"/><Relationship Id="rId21" Target="http://localhost:8080/cinevo-web/cinevo/admin?tab=users" TargetMode="External" Type="http://schemas.openxmlformats.org/officeDocument/2006/relationships/hyperlink"/><Relationship Id="rId22" Target="http://localhost:8080/cinevo-web/cinevo/admin?tab=reports" TargetMode="External" Type="http://schemas.openxmlformats.org/officeDocument/2006/relationships/hyperlink"/><Relationship Id="rId23" Target="http://localhost:8080/cinevo-web/cinevo/admin?tab=dashboard" TargetMode="External" Type="http://schemas.openxmlformats.org/officeDocument/2006/relationships/hyperlink"/><Relationship Id="rId24" Target="http://localhost:8080/cinevo-web/user/change-password" TargetMode="External" Type="http://schemas.openxmlformats.org/officeDocument/2006/relationships/hyperlink"/><Relationship Id="rId25" Target="http://localhost:8080/cinevo-web/user/change-password" TargetMode="External" Type="http://schemas.openxmlformats.org/officeDocument/2006/relationships/hyperlink"/><Relationship Id="rId26" Target="http://localhost:8080/cinevo-web/user/change-password" TargetMode="External" Type="http://schemas.openxmlformats.org/officeDocument/2006/relationships/hyperlink"/><Relationship Id="rId27" Target="http://localhost:8080/cinevo-web/user/change-password" TargetMode="External" Type="http://schemas.openxmlformats.org/officeDocument/2006/relationships/hyperlink"/><Relationship Id="rId28" Target="http://localhost:8080/cinevo-web/user/change-password" TargetMode="External" Type="http://schemas.openxmlformats.org/officeDocument/2006/relationships/hyperlink"/><Relationship Id="rId29" Target="http://localhost:8080/cinevo-web/cinevo/user" TargetMode="External" Type="http://schemas.openxmlformats.org/officeDocument/2006/relationships/hyperlink"/><Relationship Id="rId3" Target="http://localhost:8080/cinevo-web/cinevo/user?tab=login" TargetMode="External" Type="http://schemas.openxmlformats.org/officeDocument/2006/relationships/hyperlink"/><Relationship Id="rId30" Target="http://localhost:8080/cinevo-web/cinevo/user" TargetMode="External" Type="http://schemas.openxmlformats.org/officeDocument/2006/relationships/hyperlink"/><Relationship Id="rId31" Target="http://localhost:8080/cinevo-web/cinevo/user" TargetMode="External" Type="http://schemas.openxmlformats.org/officeDocument/2006/relationships/hyperlink"/><Relationship Id="rId32" Target="http://localhost:8080/cinevo-web/cinevo/user" TargetMode="External" Type="http://schemas.openxmlformats.org/officeDocument/2006/relationships/hyperlink"/><Relationship Id="rId33" Target="http://localhost:8080/cinevo-web/cinevo/user" TargetMode="External" Type="http://schemas.openxmlformats.org/officeDocument/2006/relationships/hyperlink"/><Relationship Id="rId34" Target="http://localhost:8080/cinevo-web/cinevo/admin?tab=videos" TargetMode="External" Type="http://schemas.openxmlformats.org/officeDocument/2006/relationships/hyperlink"/><Relationship Id="rId35" Target="http://localhost:8080/cinevo-web/cinevo/admin?tab=videos" TargetMode="External" Type="http://schemas.openxmlformats.org/officeDocument/2006/relationships/hyperlink"/><Relationship Id="rId36" Target="http://localhost:8080/cinevo-web/cinevo/admin?tab=videos" TargetMode="External" Type="http://schemas.openxmlformats.org/officeDocument/2006/relationships/hyperlink"/><Relationship Id="rId37" Target="http://localhost:8080/cinevo-web/cinevo/admin?tab=videos" TargetMode="External" Type="http://schemas.openxmlformats.org/officeDocument/2006/relationships/hyperlink"/><Relationship Id="rId38" Target="http://localhost:8080/cinevo-web/cinevo/admin?tab=videos" TargetMode="External" Type="http://schemas.openxmlformats.org/officeDocument/2006/relationships/hyperlink"/><Relationship Id="rId39" Target="http://localhost:8080/cinevo-web/cinevo/admin?tab=videos" TargetMode="External" Type="http://schemas.openxmlformats.org/officeDocument/2006/relationships/hyperlink"/><Relationship Id="rId4" Target="http://localhost:8080/cinevo-web/cinevo/user?tab=login" TargetMode="External" Type="http://schemas.openxmlformats.org/officeDocument/2006/relationships/hyperlink"/><Relationship Id="rId40" Target="http://localhost:8080/cinevo-web/cinevo/admin?tab=videos" TargetMode="External" Type="http://schemas.openxmlformats.org/officeDocument/2006/relationships/hyperlink"/><Relationship Id="rId41" Target="http://localhost:8080/cinevo-web/cinevo/admin?tab=videos" TargetMode="External" Type="http://schemas.openxmlformats.org/officeDocument/2006/relationships/hyperlink"/><Relationship Id="rId42" Target="http://localhost:8080/cinevo-web/cinevo/admin?tab=videos" TargetMode="External" Type="http://schemas.openxmlformats.org/officeDocument/2006/relationships/hyperlink"/><Relationship Id="rId43" Target="http://localhost:8080/cinevo-web/cinevo/admin?tab=videos" TargetMode="External" Type="http://schemas.openxmlformats.org/officeDocument/2006/relationships/hyperlink"/><Relationship Id="rId44" Target="../tables/table5.xml" Type="http://schemas.openxmlformats.org/officeDocument/2006/relationships/table"/><Relationship Id="rId5" Target="http://localhost:8080/cinevo-web/cinevo/user?tab=login" TargetMode="External" Type="http://schemas.openxmlformats.org/officeDocument/2006/relationships/hyperlink"/><Relationship Id="rId6" Target="http://localhost:8080/cinevo-web/cinevo/user?tab=login" TargetMode="External" Type="http://schemas.openxmlformats.org/officeDocument/2006/relationships/hyperlink"/><Relationship Id="rId7" Target="http://localhost:8080/cinevo-web/cinevo/user?tab=login" TargetMode="External" Type="http://schemas.openxmlformats.org/officeDocument/2006/relationships/hyperlink"/><Relationship Id="rId8" Target="http://localhost:8080/cinevo-web/cinevo/user?tab=login" TargetMode="External" Type="http://schemas.openxmlformats.org/officeDocument/2006/relationships/hyperlink"/><Relationship Id="rId9" Target="http://localhost:8080/cinevo-web/cinevo/user?tab=login"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mailto:trong@gmail" TargetMode="External" Type="http://schemas.openxmlformats.org/officeDocument/2006/relationships/hyperlink"/><Relationship Id="rId2" Target="mailto: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gmail.com" TargetMode="External" Type="http://schemas.openxmlformats.org/officeDocument/2006/relationships/hyperlink"/><Relationship Id="rId3" Target="mailto:trongbeo1@gmail.com" TargetMode="External" Type="http://schemas.openxmlformats.org/officeDocument/2006/relationships/hyperlink"/><Relationship Id="rId4" Target="mailto:trongpass1@gmail.com" TargetMode="External" Type="http://schemas.openxmlformats.org/officeDocument/2006/relationships/hyperlink"/><Relationship Id="rId5" Target="mailto:trongpass2@gmail.com" TargetMode="External" Type="http://schemas.openxmlformats.org/officeDocument/2006/relationships/hyperlink"/><Relationship Id="rId6" Target="mailto:trong@gmail.com" TargetMode="External" Type="http://schemas.openxmlformats.org/officeDocument/2006/relationships/hyperlink"/><Relationship Id="rId7" Target="mailto:admintrong@gmail.com" TargetMode="External" Type="http://schemas.openxmlformats.org/officeDocument/2006/relationships/hyperlink"/><Relationship Id="rId8" Target="mailto:123456@gmail" TargetMode="External" Type="http://schemas.openxmlformats.org/officeDocument/2006/relationships/hyperlink"/><Relationship Id="rId9" Target="../printerSettings/printerSettings1.bin" Type="http://schemas.openxmlformats.org/officeDocument/2006/relationships/printerSettings"/></Relationships>
</file>

<file path=xl/worksheets/_rels/sheet6.xml.rels><?xml version="1.0" encoding="UTF-8" standalone="no"?><Relationships xmlns="http://schemas.openxmlformats.org/package/2006/relationships"><Relationship Id="rId1" Target="mailto:duy@example.com" TargetMode="External" Type="http://schemas.openxmlformats.org/officeDocument/2006/relationships/hyperlink"/><Relationship Id="rId2"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outlinePr summaryBelow="0" summaryRight="0"/>
  </sheetPr>
  <dimension ref="A1:G58"/>
  <sheetViews>
    <sheetView workbookViewId="0">
      <pane ySplit="1" topLeftCell="A2" activePane="bottomLeft" state="frozen"/>
      <selection pane="bottomLeft" activeCell="B3" sqref="B3"/>
    </sheetView>
  </sheetViews>
  <sheetFormatPr defaultColWidth="12.6640625" defaultRowHeight="15.75" customHeight="1" x14ac:dyDescent="0.25"/>
  <cols>
    <col min="2" max="2" customWidth="true" width="19.77734375"/>
    <col min="3" max="3" customWidth="true" width="14.33203125"/>
    <col min="4" max="4" customWidth="true" width="14.44140625"/>
    <col min="5" max="5" customWidth="true" width="15.0"/>
    <col min="6" max="6" customWidth="true" width="22.6640625"/>
    <col min="7" max="7" customWidth="true" width="24.33203125"/>
  </cols>
  <sheetData>
    <row r="1" spans="1:7" ht="22.5" customHeight="1" x14ac:dyDescent="0.25">
      <c r="A1" s="1" t="s">
        <v>0</v>
      </c>
      <c r="B1" s="1" t="s">
        <v>1</v>
      </c>
      <c r="C1" s="1" t="s">
        <v>2</v>
      </c>
      <c r="D1" s="1" t="s">
        <v>3</v>
      </c>
      <c r="E1" s="1" t="s">
        <v>4</v>
      </c>
      <c r="F1" s="1" t="s">
        <v>5</v>
      </c>
      <c r="G1" s="1" t="s">
        <v>6</v>
      </c>
    </row>
    <row r="2" spans="1:7" ht="22.5" customHeight="1" x14ac:dyDescent="0.25">
      <c r="A2" s="2">
        <v>1</v>
      </c>
      <c r="B2" s="3" t="s">
        <v>7</v>
      </c>
      <c r="C2" s="3" t="s">
        <v>8</v>
      </c>
      <c r="D2" s="4">
        <v>46072</v>
      </c>
      <c r="E2" s="4">
        <v>46073</v>
      </c>
      <c r="F2" s="5" t="s">
        <v>9</v>
      </c>
      <c r="G2" s="5" t="s">
        <v>10</v>
      </c>
    </row>
    <row r="3" spans="1:7" ht="22.5" customHeight="1" x14ac:dyDescent="0.25">
      <c r="A3" s="2">
        <v>2</v>
      </c>
      <c r="B3" s="3" t="s">
        <v>11</v>
      </c>
      <c r="C3" s="3" t="s">
        <v>8</v>
      </c>
      <c r="D3" s="4">
        <v>46072</v>
      </c>
      <c r="E3" s="4">
        <v>46073</v>
      </c>
      <c r="F3" s="5" t="s">
        <v>9</v>
      </c>
      <c r="G3" s="5" t="s">
        <v>12</v>
      </c>
    </row>
    <row r="4" spans="1:7" ht="22.5" customHeight="1" x14ac:dyDescent="0.25">
      <c r="A4" s="2">
        <v>3</v>
      </c>
      <c r="B4" s="3" t="s">
        <v>13</v>
      </c>
      <c r="C4" s="3" t="s">
        <v>8</v>
      </c>
      <c r="D4" s="4">
        <v>46072</v>
      </c>
      <c r="E4" s="4">
        <v>46073</v>
      </c>
      <c r="F4" s="5" t="s">
        <v>9</v>
      </c>
      <c r="G4" s="5" t="s">
        <v>14</v>
      </c>
    </row>
    <row r="5" spans="1:7" ht="22.5" customHeight="1" x14ac:dyDescent="0.25">
      <c r="A5" s="2">
        <v>4</v>
      </c>
      <c r="B5" s="3" t="s">
        <v>15</v>
      </c>
      <c r="C5" s="3" t="s">
        <v>8</v>
      </c>
      <c r="D5" s="4">
        <v>46072</v>
      </c>
      <c r="E5" s="4">
        <v>46073</v>
      </c>
      <c r="F5" s="5" t="s">
        <v>9</v>
      </c>
      <c r="G5" s="5" t="s">
        <v>16</v>
      </c>
    </row>
    <row r="6" spans="1:7" ht="22.5" customHeight="1" x14ac:dyDescent="0.25">
      <c r="A6" s="6">
        <v>5</v>
      </c>
      <c r="B6" s="7" t="s">
        <v>17</v>
      </c>
      <c r="C6" s="7" t="s">
        <v>8</v>
      </c>
      <c r="D6" s="8">
        <v>46072</v>
      </c>
      <c r="E6" s="8">
        <v>46073</v>
      </c>
      <c r="F6" s="9" t="s">
        <v>9</v>
      </c>
      <c r="G6" s="9" t="s">
        <v>18</v>
      </c>
    </row>
    <row r="7" spans="1:7" ht="22.5" customHeight="1" x14ac:dyDescent="0.25">
      <c r="A7" s="10">
        <v>6</v>
      </c>
      <c r="B7" s="11" t="s">
        <v>19</v>
      </c>
      <c r="C7" s="11" t="s">
        <v>8</v>
      </c>
      <c r="D7" s="12">
        <v>46074</v>
      </c>
      <c r="E7" s="12">
        <v>46075</v>
      </c>
      <c r="F7" s="13" t="s">
        <v>20</v>
      </c>
      <c r="G7" s="13" t="s">
        <v>21</v>
      </c>
    </row>
    <row r="8" spans="1:7" ht="22.5" customHeight="1" x14ac:dyDescent="0.25">
      <c r="A8" s="2">
        <v>7</v>
      </c>
      <c r="B8" s="3" t="s">
        <v>17</v>
      </c>
      <c r="C8" s="3" t="s">
        <v>8</v>
      </c>
      <c r="D8" s="4">
        <v>46074</v>
      </c>
      <c r="E8" s="4">
        <v>46075</v>
      </c>
      <c r="F8" s="5" t="s">
        <v>20</v>
      </c>
      <c r="G8" s="5" t="s">
        <v>22</v>
      </c>
    </row>
    <row r="9" spans="1:7" ht="22.5" customHeight="1" x14ac:dyDescent="0.25">
      <c r="A9" s="2">
        <v>8</v>
      </c>
      <c r="B9" s="3" t="s">
        <v>15</v>
      </c>
      <c r="C9" s="3" t="s">
        <v>8</v>
      </c>
      <c r="D9" s="4">
        <v>46074</v>
      </c>
      <c r="E9" s="4">
        <v>46075</v>
      </c>
      <c r="F9" s="5" t="s">
        <v>20</v>
      </c>
      <c r="G9" s="5" t="s">
        <v>23</v>
      </c>
    </row>
    <row r="10" spans="1:7" ht="22.5" customHeight="1" x14ac:dyDescent="0.25">
      <c r="A10" s="2">
        <v>9</v>
      </c>
      <c r="B10" s="3" t="s">
        <v>13</v>
      </c>
      <c r="C10" s="3" t="s">
        <v>8</v>
      </c>
      <c r="D10" s="4">
        <v>46074</v>
      </c>
      <c r="E10" s="4">
        <v>46075</v>
      </c>
      <c r="F10" s="5" t="s">
        <v>20</v>
      </c>
      <c r="G10" s="5" t="s">
        <v>24</v>
      </c>
    </row>
    <row r="11" spans="1:7" ht="22.5" customHeight="1" x14ac:dyDescent="0.25">
      <c r="A11" s="2">
        <v>10</v>
      </c>
      <c r="B11" s="3" t="s">
        <v>11</v>
      </c>
      <c r="C11" s="3" t="s">
        <v>8</v>
      </c>
      <c r="D11" s="4">
        <v>46074</v>
      </c>
      <c r="E11" s="4">
        <v>46075</v>
      </c>
      <c r="F11" s="5" t="s">
        <v>20</v>
      </c>
      <c r="G11" s="5" t="s">
        <v>25</v>
      </c>
    </row>
    <row r="12" spans="1:7" ht="22.5" customHeight="1" x14ac:dyDescent="0.25">
      <c r="A12" s="6">
        <v>11</v>
      </c>
      <c r="B12" s="7" t="s">
        <v>7</v>
      </c>
      <c r="C12" s="7" t="s">
        <v>8</v>
      </c>
      <c r="D12" s="8">
        <v>46074</v>
      </c>
      <c r="E12" s="4">
        <v>46075</v>
      </c>
      <c r="F12" s="9" t="s">
        <v>20</v>
      </c>
      <c r="G12" s="9" t="s">
        <v>26</v>
      </c>
    </row>
    <row r="13" spans="1:7" ht="22.5" customHeight="1" x14ac:dyDescent="0.25">
      <c r="A13" s="10">
        <v>12</v>
      </c>
      <c r="B13" s="11" t="s">
        <v>27</v>
      </c>
      <c r="C13" s="11" t="s">
        <v>8</v>
      </c>
      <c r="D13" s="12">
        <v>46075</v>
      </c>
      <c r="E13" s="12">
        <v>46076</v>
      </c>
      <c r="F13" s="13" t="s">
        <v>9</v>
      </c>
      <c r="G13" s="13" t="s">
        <v>28</v>
      </c>
    </row>
    <row r="14" spans="1:7" ht="22.5" customHeight="1" x14ac:dyDescent="0.25">
      <c r="A14" s="2">
        <v>13</v>
      </c>
      <c r="B14" s="3" t="s">
        <v>11</v>
      </c>
      <c r="C14" s="3" t="s">
        <v>8</v>
      </c>
      <c r="D14" s="4">
        <v>46075</v>
      </c>
      <c r="E14" s="4">
        <v>46076</v>
      </c>
      <c r="F14" s="5" t="s">
        <v>29</v>
      </c>
      <c r="G14" s="5" t="s">
        <v>30</v>
      </c>
    </row>
    <row r="15" spans="1:7" ht="22.5" customHeight="1" x14ac:dyDescent="0.25">
      <c r="A15" s="2">
        <v>14</v>
      </c>
      <c r="B15" s="3" t="s">
        <v>13</v>
      </c>
      <c r="C15" s="3" t="s">
        <v>8</v>
      </c>
      <c r="D15" s="4">
        <v>46075</v>
      </c>
      <c r="E15" s="4">
        <v>46076</v>
      </c>
      <c r="F15" s="5" t="s">
        <v>29</v>
      </c>
      <c r="G15" s="5" t="s">
        <v>31</v>
      </c>
    </row>
    <row r="16" spans="1:7" ht="22.5" customHeight="1" x14ac:dyDescent="0.25">
      <c r="A16" s="2">
        <v>15</v>
      </c>
      <c r="B16" s="3" t="s">
        <v>15</v>
      </c>
      <c r="C16" s="3" t="s">
        <v>8</v>
      </c>
      <c r="D16" s="4">
        <v>46075</v>
      </c>
      <c r="E16" s="4">
        <v>46076</v>
      </c>
      <c r="F16" s="5" t="s">
        <v>29</v>
      </c>
      <c r="G16" s="5" t="s">
        <v>32</v>
      </c>
    </row>
    <row r="17" spans="1:7" ht="22.5" customHeight="1" x14ac:dyDescent="0.25">
      <c r="A17" s="2">
        <v>16</v>
      </c>
      <c r="B17" s="3" t="s">
        <v>17</v>
      </c>
      <c r="C17" s="3" t="s">
        <v>8</v>
      </c>
      <c r="D17" s="4">
        <v>46075</v>
      </c>
      <c r="E17" s="4">
        <v>46076</v>
      </c>
      <c r="F17" s="5" t="s">
        <v>29</v>
      </c>
      <c r="G17" s="5" t="s">
        <v>33</v>
      </c>
    </row>
    <row r="18" spans="1:7" ht="22.5" customHeight="1" x14ac:dyDescent="0.25">
      <c r="A18" s="2">
        <v>17</v>
      </c>
      <c r="B18" s="3" t="s">
        <v>19</v>
      </c>
      <c r="C18" s="3" t="s">
        <v>8</v>
      </c>
      <c r="D18" s="4">
        <v>46075</v>
      </c>
      <c r="E18" s="4">
        <v>46076</v>
      </c>
      <c r="F18" s="5" t="s">
        <v>29</v>
      </c>
      <c r="G18" s="5" t="s">
        <v>34</v>
      </c>
    </row>
    <row r="19" spans="1:7" ht="22.5" customHeight="1" x14ac:dyDescent="0.25">
      <c r="A19" s="14">
        <v>18</v>
      </c>
      <c r="B19" s="15" t="s">
        <v>27</v>
      </c>
      <c r="C19" s="15" t="s">
        <v>8</v>
      </c>
      <c r="D19" s="16">
        <v>46077</v>
      </c>
      <c r="E19" s="16">
        <v>46078</v>
      </c>
      <c r="F19" s="17" t="s">
        <v>35</v>
      </c>
      <c r="G19" s="17" t="s">
        <v>36</v>
      </c>
    </row>
    <row r="20" spans="1:7" ht="22.5" customHeight="1" x14ac:dyDescent="0.25">
      <c r="A20" s="18">
        <v>19</v>
      </c>
      <c r="B20" s="19" t="s">
        <v>27</v>
      </c>
      <c r="C20" s="19" t="s">
        <v>8</v>
      </c>
      <c r="D20" s="20">
        <v>46077</v>
      </c>
      <c r="E20" s="20">
        <v>46078</v>
      </c>
      <c r="F20" s="21" t="s">
        <v>35</v>
      </c>
      <c r="G20" s="21" t="s">
        <v>37</v>
      </c>
    </row>
    <row r="21" spans="1:7" ht="22.5" customHeight="1" x14ac:dyDescent="0.25">
      <c r="A21" s="18">
        <v>20</v>
      </c>
      <c r="B21" s="19" t="s">
        <v>27</v>
      </c>
      <c r="C21" s="19" t="s">
        <v>8</v>
      </c>
      <c r="D21" s="20">
        <v>46077</v>
      </c>
      <c r="E21" s="20">
        <v>46078</v>
      </c>
      <c r="F21" s="21" t="s">
        <v>35</v>
      </c>
      <c r="G21" s="21" t="s">
        <v>38</v>
      </c>
    </row>
    <row r="22" spans="1:7" ht="22.5" customHeight="1" x14ac:dyDescent="0.25">
      <c r="A22" s="18">
        <v>21</v>
      </c>
      <c r="B22" s="19" t="s">
        <v>27</v>
      </c>
      <c r="C22" s="19" t="s">
        <v>8</v>
      </c>
      <c r="D22" s="20">
        <v>46077</v>
      </c>
      <c r="E22" s="20">
        <v>46078</v>
      </c>
      <c r="F22" s="21" t="s">
        <v>35</v>
      </c>
      <c r="G22" s="21" t="s">
        <v>39</v>
      </c>
    </row>
    <row r="23" spans="1:7" ht="22.5" customHeight="1" x14ac:dyDescent="0.25">
      <c r="A23" s="18">
        <v>22</v>
      </c>
      <c r="B23" s="19" t="s">
        <v>27</v>
      </c>
      <c r="C23" s="19" t="s">
        <v>8</v>
      </c>
      <c r="D23" s="20">
        <v>46077</v>
      </c>
      <c r="E23" s="20">
        <v>46078</v>
      </c>
      <c r="F23" s="21" t="s">
        <v>35</v>
      </c>
      <c r="G23" s="21" t="s">
        <v>40</v>
      </c>
    </row>
    <row r="24" spans="1:7" ht="22.5" customHeight="1" x14ac:dyDescent="0.25">
      <c r="A24" s="18">
        <v>23</v>
      </c>
      <c r="B24" s="19" t="s">
        <v>27</v>
      </c>
      <c r="C24" s="19" t="s">
        <v>8</v>
      </c>
      <c r="D24" s="20">
        <v>46077</v>
      </c>
      <c r="E24" s="20">
        <v>46078</v>
      </c>
      <c r="F24" s="21" t="s">
        <v>35</v>
      </c>
      <c r="G24" s="21" t="s">
        <v>41</v>
      </c>
    </row>
    <row r="25" spans="1:7" ht="22.5" customHeight="1" x14ac:dyDescent="0.25">
      <c r="A25" s="14">
        <v>24</v>
      </c>
      <c r="B25" s="15" t="s">
        <v>11</v>
      </c>
      <c r="C25" s="15" t="s">
        <v>8</v>
      </c>
      <c r="D25" s="16">
        <v>46077</v>
      </c>
      <c r="E25" s="16">
        <v>46078</v>
      </c>
      <c r="F25" s="17" t="s">
        <v>42</v>
      </c>
      <c r="G25" s="17" t="s">
        <v>43</v>
      </c>
    </row>
    <row r="26" spans="1:7" ht="22.5" customHeight="1" x14ac:dyDescent="0.25">
      <c r="A26" s="18">
        <v>25</v>
      </c>
      <c r="B26" s="19" t="s">
        <v>11</v>
      </c>
      <c r="C26" s="19" t="s">
        <v>8</v>
      </c>
      <c r="D26" s="20">
        <v>46077</v>
      </c>
      <c r="E26" s="20">
        <v>46078</v>
      </c>
      <c r="F26" s="21" t="s">
        <v>42</v>
      </c>
      <c r="G26" s="21" t="s">
        <v>44</v>
      </c>
    </row>
    <row r="27" spans="1:7" ht="22.5" customHeight="1" x14ac:dyDescent="0.25">
      <c r="A27" s="18">
        <v>26</v>
      </c>
      <c r="B27" s="19" t="s">
        <v>11</v>
      </c>
      <c r="C27" s="19" t="s">
        <v>8</v>
      </c>
      <c r="D27" s="20">
        <v>46077</v>
      </c>
      <c r="E27" s="20">
        <v>46078</v>
      </c>
      <c r="F27" s="21" t="s">
        <v>42</v>
      </c>
      <c r="G27" s="21" t="s">
        <v>45</v>
      </c>
    </row>
    <row r="28" spans="1:7" ht="22.5" customHeight="1" x14ac:dyDescent="0.25">
      <c r="A28" s="18">
        <v>27</v>
      </c>
      <c r="B28" s="19" t="s">
        <v>11</v>
      </c>
      <c r="C28" s="19" t="s">
        <v>8</v>
      </c>
      <c r="D28" s="20">
        <v>46077</v>
      </c>
      <c r="E28" s="20">
        <v>46078</v>
      </c>
      <c r="F28" s="21" t="s">
        <v>42</v>
      </c>
      <c r="G28" s="21" t="s">
        <v>46</v>
      </c>
    </row>
    <row r="29" spans="1:7" ht="22.5" customHeight="1" x14ac:dyDescent="0.25">
      <c r="A29" s="18">
        <v>28</v>
      </c>
      <c r="B29" s="19" t="s">
        <v>11</v>
      </c>
      <c r="C29" s="19" t="s">
        <v>8</v>
      </c>
      <c r="D29" s="20">
        <v>46077</v>
      </c>
      <c r="E29" s="20">
        <v>46078</v>
      </c>
      <c r="F29" s="21" t="s">
        <v>42</v>
      </c>
      <c r="G29" s="21" t="s">
        <v>47</v>
      </c>
    </row>
    <row r="30" spans="1:7" ht="22.5" customHeight="1" x14ac:dyDescent="0.25">
      <c r="A30" s="14">
        <v>29</v>
      </c>
      <c r="B30" s="15" t="s">
        <v>13</v>
      </c>
      <c r="C30" s="15" t="s">
        <v>8</v>
      </c>
      <c r="D30" s="16">
        <v>46077</v>
      </c>
      <c r="E30" s="16">
        <v>46078</v>
      </c>
      <c r="F30" s="17" t="s">
        <v>48</v>
      </c>
      <c r="G30" s="17" t="s">
        <v>49</v>
      </c>
    </row>
    <row r="31" spans="1:7" ht="22.5" customHeight="1" x14ac:dyDescent="0.25">
      <c r="A31" s="18">
        <v>30</v>
      </c>
      <c r="B31" s="3" t="s">
        <v>13</v>
      </c>
      <c r="C31" s="19" t="s">
        <v>8</v>
      </c>
      <c r="D31" s="20">
        <v>46077</v>
      </c>
      <c r="E31" s="20">
        <v>46078</v>
      </c>
      <c r="F31" s="21" t="s">
        <v>48</v>
      </c>
      <c r="G31" s="21" t="s">
        <v>50</v>
      </c>
    </row>
    <row r="32" spans="1:7" ht="22.5" customHeight="1" x14ac:dyDescent="0.25">
      <c r="A32" s="14">
        <v>31</v>
      </c>
      <c r="B32" s="11" t="s">
        <v>13</v>
      </c>
      <c r="C32" s="15" t="s">
        <v>8</v>
      </c>
      <c r="D32" s="16">
        <v>46077</v>
      </c>
      <c r="E32" s="16">
        <v>46078</v>
      </c>
      <c r="F32" s="17" t="s">
        <v>51</v>
      </c>
      <c r="G32" s="17" t="s">
        <v>52</v>
      </c>
    </row>
    <row r="33" spans="1:7" ht="22.5" customHeight="1" x14ac:dyDescent="0.25">
      <c r="A33" s="18">
        <v>32</v>
      </c>
      <c r="B33" s="3" t="s">
        <v>13</v>
      </c>
      <c r="C33" s="19" t="s">
        <v>8</v>
      </c>
      <c r="D33" s="20">
        <v>46077</v>
      </c>
      <c r="E33" s="20">
        <v>46078</v>
      </c>
      <c r="F33" s="21" t="s">
        <v>51</v>
      </c>
      <c r="G33" s="21" t="s">
        <v>53</v>
      </c>
    </row>
    <row r="34" spans="1:7" ht="22.5" customHeight="1" x14ac:dyDescent="0.25">
      <c r="A34" s="22">
        <v>33</v>
      </c>
      <c r="B34" s="23" t="s">
        <v>13</v>
      </c>
      <c r="C34" s="24" t="s">
        <v>8</v>
      </c>
      <c r="D34" s="25">
        <v>46077</v>
      </c>
      <c r="E34" s="25">
        <v>46078</v>
      </c>
      <c r="F34" s="26" t="s">
        <v>54</v>
      </c>
      <c r="G34" s="26" t="s">
        <v>55</v>
      </c>
    </row>
    <row r="35" spans="1:7" ht="22.5" customHeight="1" x14ac:dyDescent="0.25">
      <c r="A35" s="18">
        <v>34</v>
      </c>
      <c r="B35" s="3" t="s">
        <v>17</v>
      </c>
      <c r="C35" s="19" t="s">
        <v>8</v>
      </c>
      <c r="D35" s="20">
        <v>46078</v>
      </c>
      <c r="E35" s="20">
        <v>46079</v>
      </c>
      <c r="F35" s="21" t="s">
        <v>56</v>
      </c>
      <c r="G35" s="21" t="s">
        <v>57</v>
      </c>
    </row>
    <row r="36" spans="1:7" ht="22.5" customHeight="1" x14ac:dyDescent="0.25">
      <c r="A36" s="18">
        <v>35</v>
      </c>
      <c r="B36" s="3" t="s">
        <v>17</v>
      </c>
      <c r="C36" s="19" t="s">
        <v>8</v>
      </c>
      <c r="D36" s="20">
        <v>46078</v>
      </c>
      <c r="E36" s="20">
        <v>46079</v>
      </c>
      <c r="F36" s="21" t="s">
        <v>56</v>
      </c>
      <c r="G36" s="21" t="s">
        <v>58</v>
      </c>
    </row>
    <row r="37" spans="1:7" ht="22.5" customHeight="1" x14ac:dyDescent="0.25">
      <c r="A37" s="18">
        <v>36</v>
      </c>
      <c r="B37" s="3" t="s">
        <v>17</v>
      </c>
      <c r="C37" s="19" t="s">
        <v>8</v>
      </c>
      <c r="D37" s="20">
        <v>46078</v>
      </c>
      <c r="E37" s="20">
        <v>46079</v>
      </c>
      <c r="F37" s="21" t="s">
        <v>56</v>
      </c>
      <c r="G37" s="21" t="s">
        <v>59</v>
      </c>
    </row>
    <row r="38" spans="1:7" ht="22.5" customHeight="1" x14ac:dyDescent="0.25">
      <c r="A38" s="18">
        <v>37</v>
      </c>
      <c r="B38" s="3" t="s">
        <v>17</v>
      </c>
      <c r="C38" s="19" t="s">
        <v>8</v>
      </c>
      <c r="D38" s="20">
        <v>46078</v>
      </c>
      <c r="E38" s="20">
        <v>46079</v>
      </c>
      <c r="F38" s="21" t="s">
        <v>56</v>
      </c>
      <c r="G38" s="21" t="s">
        <v>60</v>
      </c>
    </row>
    <row r="39" spans="1:7" ht="22.5" customHeight="1" x14ac:dyDescent="0.25">
      <c r="A39" s="18">
        <v>38</v>
      </c>
      <c r="B39" s="3" t="s">
        <v>17</v>
      </c>
      <c r="C39" s="19" t="s">
        <v>8</v>
      </c>
      <c r="D39" s="20">
        <v>46078</v>
      </c>
      <c r="E39" s="20">
        <v>46079</v>
      </c>
      <c r="F39" s="21" t="s">
        <v>56</v>
      </c>
      <c r="G39" s="21" t="s">
        <v>61</v>
      </c>
    </row>
    <row r="40" spans="1:7" ht="22.5" customHeight="1" x14ac:dyDescent="0.25">
      <c r="A40" s="18">
        <v>39</v>
      </c>
      <c r="B40" s="3" t="s">
        <v>17</v>
      </c>
      <c r="C40" s="19" t="s">
        <v>8</v>
      </c>
      <c r="D40" s="20">
        <v>46078</v>
      </c>
      <c r="E40" s="20">
        <v>46079</v>
      </c>
      <c r="F40" s="21" t="s">
        <v>56</v>
      </c>
      <c r="G40" s="21" t="s">
        <v>62</v>
      </c>
    </row>
    <row r="41" spans="1:7" ht="22.5" customHeight="1" x14ac:dyDescent="0.25">
      <c r="A41" s="18">
        <v>40</v>
      </c>
      <c r="B41" s="3" t="s">
        <v>15</v>
      </c>
      <c r="C41" s="19" t="s">
        <v>8</v>
      </c>
      <c r="D41" s="20">
        <v>46078</v>
      </c>
      <c r="E41" s="20">
        <v>46079</v>
      </c>
      <c r="F41" s="21" t="s">
        <v>56</v>
      </c>
      <c r="G41" s="21" t="s">
        <v>63</v>
      </c>
    </row>
    <row r="42" spans="1:7" ht="22.5" customHeight="1" x14ac:dyDescent="0.25">
      <c r="A42" s="18">
        <v>41</v>
      </c>
      <c r="B42" s="3" t="s">
        <v>15</v>
      </c>
      <c r="C42" s="19" t="s">
        <v>8</v>
      </c>
      <c r="D42" s="20">
        <v>46078</v>
      </c>
      <c r="E42" s="20">
        <v>46079</v>
      </c>
      <c r="F42" s="21" t="s">
        <v>56</v>
      </c>
      <c r="G42" s="21" t="s">
        <v>64</v>
      </c>
    </row>
    <row r="43" spans="1:7" ht="22.5" customHeight="1" x14ac:dyDescent="0.25">
      <c r="A43" s="18">
        <v>42</v>
      </c>
      <c r="B43" s="3" t="s">
        <v>15</v>
      </c>
      <c r="C43" s="19" t="s">
        <v>8</v>
      </c>
      <c r="D43" s="20">
        <v>46078</v>
      </c>
      <c r="E43" s="20">
        <v>46079</v>
      </c>
      <c r="F43" s="21" t="s">
        <v>56</v>
      </c>
      <c r="G43" s="21" t="s">
        <v>65</v>
      </c>
    </row>
    <row r="44" spans="1:7" ht="22.5" customHeight="1" x14ac:dyDescent="0.25">
      <c r="A44" s="18">
        <v>43</v>
      </c>
      <c r="B44" s="3" t="s">
        <v>15</v>
      </c>
      <c r="C44" s="19" t="s">
        <v>8</v>
      </c>
      <c r="D44" s="20">
        <v>46078</v>
      </c>
      <c r="E44" s="20">
        <v>46079</v>
      </c>
      <c r="F44" s="21" t="s">
        <v>56</v>
      </c>
      <c r="G44" s="21" t="s">
        <v>66</v>
      </c>
    </row>
    <row r="45" spans="1:7" ht="22.5" customHeight="1" x14ac:dyDescent="0.25">
      <c r="A45" s="18">
        <v>44</v>
      </c>
      <c r="B45" s="3" t="s">
        <v>15</v>
      </c>
      <c r="C45" s="19" t="s">
        <v>8</v>
      </c>
      <c r="D45" s="20">
        <v>46078</v>
      </c>
      <c r="E45" s="20">
        <v>46079</v>
      </c>
      <c r="F45" s="21" t="s">
        <v>56</v>
      </c>
      <c r="G45" s="21" t="s">
        <v>67</v>
      </c>
    </row>
    <row r="46" spans="1:7" ht="22.5" customHeight="1" x14ac:dyDescent="0.25">
      <c r="A46" s="18">
        <v>45</v>
      </c>
      <c r="B46" s="19" t="s">
        <v>13</v>
      </c>
      <c r="C46" s="19" t="s">
        <v>8</v>
      </c>
      <c r="D46" s="20">
        <v>46078</v>
      </c>
      <c r="E46" s="20">
        <v>46079</v>
      </c>
      <c r="F46" s="21" t="s">
        <v>56</v>
      </c>
      <c r="G46" s="21" t="s">
        <v>68</v>
      </c>
    </row>
    <row r="47" spans="1:7" ht="22.5" customHeight="1" x14ac:dyDescent="0.25">
      <c r="A47" s="14">
        <v>46</v>
      </c>
      <c r="B47" s="15" t="s">
        <v>19</v>
      </c>
      <c r="C47" s="15" t="s">
        <v>8</v>
      </c>
      <c r="D47" s="16">
        <v>46079</v>
      </c>
      <c r="E47" s="16">
        <v>46080</v>
      </c>
      <c r="F47" s="17" t="s">
        <v>69</v>
      </c>
      <c r="G47" s="17" t="s">
        <v>70</v>
      </c>
    </row>
    <row r="48" spans="1:7" ht="22.5" customHeight="1" x14ac:dyDescent="0.25">
      <c r="A48" s="18">
        <v>47</v>
      </c>
      <c r="B48" s="19" t="s">
        <v>19</v>
      </c>
      <c r="C48" s="19" t="s">
        <v>8</v>
      </c>
      <c r="D48" s="20">
        <v>46079</v>
      </c>
      <c r="E48" s="20">
        <v>46080</v>
      </c>
      <c r="F48" s="21" t="s">
        <v>69</v>
      </c>
      <c r="G48" s="21" t="s">
        <v>71</v>
      </c>
    </row>
    <row r="49" spans="1:7" ht="22.5" customHeight="1" x14ac:dyDescent="0.25">
      <c r="A49" s="18">
        <v>48</v>
      </c>
      <c r="B49" s="19" t="s">
        <v>19</v>
      </c>
      <c r="C49" s="19" t="s">
        <v>8</v>
      </c>
      <c r="D49" s="20">
        <v>46079</v>
      </c>
      <c r="E49" s="20">
        <v>46080</v>
      </c>
      <c r="F49" s="21" t="s">
        <v>69</v>
      </c>
      <c r="G49" s="21" t="s">
        <v>72</v>
      </c>
    </row>
    <row r="50" spans="1:7" ht="22.5" customHeight="1" x14ac:dyDescent="0.25">
      <c r="A50" s="18">
        <v>49</v>
      </c>
      <c r="B50" s="19" t="s">
        <v>19</v>
      </c>
      <c r="C50" s="19" t="s">
        <v>8</v>
      </c>
      <c r="D50" s="20">
        <v>46079</v>
      </c>
      <c r="E50" s="20">
        <v>46080</v>
      </c>
      <c r="F50" s="21" t="s">
        <v>69</v>
      </c>
      <c r="G50" s="21" t="s">
        <v>73</v>
      </c>
    </row>
    <row r="51" spans="1:7" ht="22.5" customHeight="1" x14ac:dyDescent="0.25">
      <c r="A51" s="18">
        <v>50</v>
      </c>
      <c r="B51" s="19" t="s">
        <v>19</v>
      </c>
      <c r="C51" s="19" t="s">
        <v>8</v>
      </c>
      <c r="D51" s="20">
        <v>46079</v>
      </c>
      <c r="E51" s="20">
        <v>46080</v>
      </c>
      <c r="F51" s="21" t="s">
        <v>69</v>
      </c>
      <c r="G51" s="21" t="s">
        <v>74</v>
      </c>
    </row>
    <row r="52" spans="1:7" ht="22.5" customHeight="1" x14ac:dyDescent="0.25">
      <c r="A52" s="18">
        <v>51</v>
      </c>
      <c r="B52" s="19" t="s">
        <v>19</v>
      </c>
      <c r="C52" s="19" t="s">
        <v>8</v>
      </c>
      <c r="D52" s="20">
        <v>46079</v>
      </c>
      <c r="E52" s="20">
        <v>46080</v>
      </c>
      <c r="F52" s="21" t="s">
        <v>69</v>
      </c>
      <c r="G52" s="21" t="s">
        <v>75</v>
      </c>
    </row>
    <row r="53" spans="1:7" ht="22.5" customHeight="1" x14ac:dyDescent="0.25">
      <c r="A53" s="18">
        <v>52</v>
      </c>
      <c r="B53" s="19" t="s">
        <v>19</v>
      </c>
      <c r="C53" s="19" t="s">
        <v>8</v>
      </c>
      <c r="D53" s="20">
        <v>46079</v>
      </c>
      <c r="E53" s="20">
        <v>46080</v>
      </c>
      <c r="F53" s="21" t="s">
        <v>69</v>
      </c>
      <c r="G53" s="21" t="s">
        <v>76</v>
      </c>
    </row>
    <row r="54" spans="1:7" ht="22.5" customHeight="1" x14ac:dyDescent="0.25">
      <c r="A54" s="18">
        <v>53</v>
      </c>
      <c r="B54" s="19" t="s">
        <v>19</v>
      </c>
      <c r="C54" s="19" t="s">
        <v>8</v>
      </c>
      <c r="D54" s="20">
        <v>46079</v>
      </c>
      <c r="E54" s="20">
        <v>46080</v>
      </c>
      <c r="F54" s="21" t="s">
        <v>69</v>
      </c>
      <c r="G54" s="21" t="s">
        <v>77</v>
      </c>
    </row>
    <row r="55" spans="1:7" ht="22.5" customHeight="1" x14ac:dyDescent="0.25">
      <c r="A55" s="18">
        <v>54</v>
      </c>
      <c r="B55" s="19" t="s">
        <v>19</v>
      </c>
      <c r="C55" s="19" t="s">
        <v>8</v>
      </c>
      <c r="D55" s="20">
        <v>46079</v>
      </c>
      <c r="E55" s="20">
        <v>46080</v>
      </c>
      <c r="F55" s="21" t="s">
        <v>69</v>
      </c>
      <c r="G55" s="21" t="s">
        <v>78</v>
      </c>
    </row>
    <row r="56" spans="1:7" ht="22.5" customHeight="1" x14ac:dyDescent="0.25">
      <c r="A56" s="18">
        <v>55</v>
      </c>
      <c r="B56" s="19" t="s">
        <v>19</v>
      </c>
      <c r="C56" s="19" t="s">
        <v>8</v>
      </c>
      <c r="D56" s="20">
        <v>46079</v>
      </c>
      <c r="E56" s="20">
        <v>46080</v>
      </c>
      <c r="F56" s="21" t="s">
        <v>69</v>
      </c>
      <c r="G56" s="21" t="s">
        <v>79</v>
      </c>
    </row>
    <row r="57" spans="1:7" ht="22.5" customHeight="1" x14ac:dyDescent="0.25">
      <c r="A57" s="18">
        <v>56</v>
      </c>
      <c r="B57" s="19" t="s">
        <v>19</v>
      </c>
      <c r="C57" s="19" t="s">
        <v>8</v>
      </c>
      <c r="D57" s="20">
        <v>46079</v>
      </c>
      <c r="E57" s="20">
        <v>46080</v>
      </c>
      <c r="F57" s="21" t="s">
        <v>69</v>
      </c>
      <c r="G57" s="21" t="s">
        <v>80</v>
      </c>
    </row>
    <row r="58" spans="1:7" ht="22.5" customHeight="1" x14ac:dyDescent="0.25">
      <c r="A58" s="18">
        <v>57</v>
      </c>
      <c r="B58" s="19" t="s">
        <v>19</v>
      </c>
      <c r="C58" s="19" t="s">
        <v>8</v>
      </c>
      <c r="D58" s="20">
        <v>46079</v>
      </c>
      <c r="E58" s="20">
        <v>46080</v>
      </c>
      <c r="F58" s="21" t="s">
        <v>69</v>
      </c>
      <c r="G58" s="21" t="s">
        <v>81</v>
      </c>
    </row>
  </sheetData>
  <dataValidations count="2">
    <dataValidation type="custom" allowBlank="1" showDropDown="1" sqref="D2:E58" xr:uid="{00000000-0002-0000-0000-000000000000}">
      <formula1>OR(NOT(ISERROR(DATEVALUE(D2))), AND(ISNUMBER(D2), LEFT(CELL("format", D2))="D"))</formula1>
    </dataValidation>
    <dataValidation allowBlank="1" showDropDown="1" sqref="C2:C58" xr:uid="{00000000-0002-0000-0000-000001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86E8"/>
    <outlinePr summaryBelow="0" summaryRight="0"/>
  </sheetPr>
  <dimension ref="A1:D57"/>
  <sheetViews>
    <sheetView workbookViewId="0">
      <pane ySplit="1" topLeftCell="A2" activePane="bottomLeft" state="frozen"/>
      <selection pane="bottomLeft" activeCell="B3" sqref="B3"/>
    </sheetView>
  </sheetViews>
  <sheetFormatPr defaultColWidth="12.6640625" defaultRowHeight="15.75" customHeight="1" x14ac:dyDescent="0.25"/>
  <cols>
    <col min="1" max="1" customWidth="true" width="13.44140625"/>
    <col min="2" max="2" customWidth="true" width="24.109375"/>
    <col min="3" max="3" customWidth="true" width="25.109375"/>
    <col min="4" max="4" customWidth="true" width="15.6640625"/>
  </cols>
  <sheetData>
    <row r="1" spans="1:4" ht="22.5" customHeight="1" x14ac:dyDescent="0.25">
      <c r="A1" s="1" t="s">
        <v>82</v>
      </c>
      <c r="B1" s="1" t="s">
        <v>83</v>
      </c>
      <c r="C1" s="1" t="s">
        <v>84</v>
      </c>
      <c r="D1" s="1" t="s">
        <v>85</v>
      </c>
    </row>
    <row r="2" spans="1:4" ht="22.5" customHeight="1" x14ac:dyDescent="0.25">
      <c r="A2" s="27" t="s">
        <v>86</v>
      </c>
      <c r="B2" s="28" t="s">
        <v>87</v>
      </c>
      <c r="C2" s="29" t="s">
        <v>88</v>
      </c>
      <c r="D2" s="30" t="s">
        <v>89</v>
      </c>
    </row>
    <row r="3" spans="1:4" ht="22.5" customHeight="1" x14ac:dyDescent="0.25">
      <c r="A3" s="27"/>
      <c r="B3" s="28"/>
      <c r="C3" s="29" t="s">
        <v>90</v>
      </c>
      <c r="D3" s="30" t="s">
        <v>89</v>
      </c>
    </row>
    <row r="4" spans="1:4" ht="22.5" customHeight="1" x14ac:dyDescent="0.25">
      <c r="A4" s="27"/>
      <c r="B4" s="31"/>
      <c r="C4" s="32" t="s">
        <v>91</v>
      </c>
      <c r="D4" s="33" t="s">
        <v>89</v>
      </c>
    </row>
    <row r="5" spans="1:4" ht="22.5" customHeight="1" x14ac:dyDescent="0.25">
      <c r="A5" s="27"/>
      <c r="B5" s="28" t="s">
        <v>92</v>
      </c>
      <c r="C5" s="29" t="s">
        <v>93</v>
      </c>
      <c r="D5" s="30" t="s">
        <v>89</v>
      </c>
    </row>
    <row r="6" spans="1:4" ht="22.5" customHeight="1" x14ac:dyDescent="0.25">
      <c r="A6" s="34"/>
      <c r="B6" s="31"/>
      <c r="C6" s="32" t="s">
        <v>94</v>
      </c>
      <c r="D6" s="33" t="s">
        <v>89</v>
      </c>
    </row>
    <row r="7" spans="1:4" ht="22.5" customHeight="1" x14ac:dyDescent="0.25">
      <c r="A7" s="35" t="s">
        <v>95</v>
      </c>
      <c r="B7" s="36" t="s">
        <v>96</v>
      </c>
      <c r="C7" s="36" t="s">
        <v>97</v>
      </c>
      <c r="D7" s="37" t="s">
        <v>89</v>
      </c>
    </row>
    <row r="8" spans="1:4" ht="22.5" customHeight="1" x14ac:dyDescent="0.25">
      <c r="A8" s="35"/>
      <c r="B8" s="38" t="s">
        <v>98</v>
      </c>
      <c r="C8" s="38" t="s">
        <v>99</v>
      </c>
      <c r="D8" s="39" t="s">
        <v>89</v>
      </c>
    </row>
    <row r="9" spans="1:4" ht="22.5" customHeight="1" x14ac:dyDescent="0.25">
      <c r="A9" s="35"/>
      <c r="B9" s="38"/>
      <c r="C9" s="38" t="s">
        <v>100</v>
      </c>
      <c r="D9" s="39" t="s">
        <v>89</v>
      </c>
    </row>
    <row r="10" spans="1:4" ht="22.5" customHeight="1" x14ac:dyDescent="0.25">
      <c r="A10" s="35"/>
      <c r="B10" s="38"/>
      <c r="C10" s="38" t="s">
        <v>101</v>
      </c>
      <c r="D10" s="39" t="s">
        <v>102</v>
      </c>
    </row>
    <row r="11" spans="1:4" ht="22.5" customHeight="1" x14ac:dyDescent="0.25">
      <c r="A11" s="35"/>
      <c r="B11" s="38"/>
      <c r="C11" s="38" t="s">
        <v>103</v>
      </c>
      <c r="D11" s="39" t="s">
        <v>89</v>
      </c>
    </row>
    <row r="12" spans="1:4" ht="22.5" customHeight="1" x14ac:dyDescent="0.25">
      <c r="A12" s="35"/>
      <c r="B12" s="38"/>
      <c r="C12" s="38" t="s">
        <v>104</v>
      </c>
      <c r="D12" s="39" t="s">
        <v>89</v>
      </c>
    </row>
    <row r="13" spans="1:4" ht="22.5" customHeight="1" x14ac:dyDescent="0.25">
      <c r="A13" s="40" t="s">
        <v>105</v>
      </c>
      <c r="B13" s="41" t="s">
        <v>106</v>
      </c>
      <c r="C13" s="41" t="s">
        <v>107</v>
      </c>
      <c r="D13" s="42" t="s">
        <v>89</v>
      </c>
    </row>
    <row r="14" spans="1:4" ht="22.5" customHeight="1" x14ac:dyDescent="0.25">
      <c r="A14" s="43"/>
      <c r="B14" s="44"/>
      <c r="C14" s="44" t="s">
        <v>108</v>
      </c>
      <c r="D14" s="45" t="s">
        <v>89</v>
      </c>
    </row>
    <row r="15" spans="1:4" ht="22.5" customHeight="1" x14ac:dyDescent="0.25">
      <c r="A15" s="43"/>
      <c r="B15" s="44"/>
      <c r="C15" s="44" t="s">
        <v>109</v>
      </c>
      <c r="D15" s="45" t="s">
        <v>89</v>
      </c>
    </row>
    <row r="16" spans="1:4" ht="22.5" customHeight="1" x14ac:dyDescent="0.25">
      <c r="A16" s="43"/>
      <c r="B16" s="41" t="s">
        <v>110</v>
      </c>
      <c r="C16" s="41" t="s">
        <v>111</v>
      </c>
      <c r="D16" s="42" t="s">
        <v>89</v>
      </c>
    </row>
    <row r="17" spans="1:4" ht="22.5" customHeight="1" x14ac:dyDescent="0.25">
      <c r="A17" s="43"/>
      <c r="B17" s="44"/>
      <c r="C17" s="44" t="s">
        <v>112</v>
      </c>
      <c r="D17" s="45" t="s">
        <v>113</v>
      </c>
    </row>
    <row r="18" spans="1:4" ht="22.5" customHeight="1" x14ac:dyDescent="0.25">
      <c r="A18" s="46" t="s">
        <v>114</v>
      </c>
      <c r="B18" s="47" t="s">
        <v>115</v>
      </c>
      <c r="C18" s="47" t="s">
        <v>116</v>
      </c>
      <c r="D18" s="48" t="s">
        <v>117</v>
      </c>
    </row>
    <row r="19" spans="1:4" ht="22.5" customHeight="1" x14ac:dyDescent="0.25">
      <c r="A19" s="46"/>
      <c r="B19" s="47"/>
      <c r="C19" s="47" t="s">
        <v>118</v>
      </c>
      <c r="D19" s="48" t="s">
        <v>117</v>
      </c>
    </row>
    <row r="20" spans="1:4" ht="22.5" customHeight="1" x14ac:dyDescent="0.25">
      <c r="A20" s="46"/>
      <c r="B20" s="47"/>
      <c r="C20" s="47" t="s">
        <v>119</v>
      </c>
      <c r="D20" s="48" t="s">
        <v>117</v>
      </c>
    </row>
    <row r="21" spans="1:4" ht="22.5" customHeight="1" x14ac:dyDescent="0.25">
      <c r="A21" s="46"/>
      <c r="B21" s="47"/>
      <c r="C21" s="47" t="s">
        <v>120</v>
      </c>
      <c r="D21" s="48" t="s">
        <v>117</v>
      </c>
    </row>
    <row r="22" spans="1:4" ht="22.5" customHeight="1" x14ac:dyDescent="0.25">
      <c r="A22" s="46"/>
      <c r="B22" s="47"/>
      <c r="C22" s="47" t="s">
        <v>121</v>
      </c>
      <c r="D22" s="48" t="s">
        <v>117</v>
      </c>
    </row>
    <row r="23" spans="1:4" ht="22.5" customHeight="1" x14ac:dyDescent="0.25">
      <c r="A23" s="46"/>
      <c r="B23" s="47"/>
      <c r="C23" s="47" t="s">
        <v>122</v>
      </c>
      <c r="D23" s="48" t="s">
        <v>117</v>
      </c>
    </row>
    <row r="24" spans="1:4" ht="22.5" customHeight="1" x14ac:dyDescent="0.25">
      <c r="A24" s="49" t="s">
        <v>123</v>
      </c>
      <c r="B24" s="50" t="s">
        <v>124</v>
      </c>
      <c r="C24" s="50" t="s">
        <v>125</v>
      </c>
      <c r="D24" s="51" t="s">
        <v>89</v>
      </c>
    </row>
    <row r="25" spans="1:4" ht="22.5" customHeight="1" x14ac:dyDescent="0.25">
      <c r="A25" s="52"/>
      <c r="B25" s="50" t="s">
        <v>126</v>
      </c>
      <c r="C25" s="50" t="s">
        <v>127</v>
      </c>
      <c r="D25" s="51" t="s">
        <v>89</v>
      </c>
    </row>
    <row r="26" spans="1:4" ht="22.5" customHeight="1" x14ac:dyDescent="0.25">
      <c r="A26" s="52"/>
      <c r="B26" s="53"/>
      <c r="C26" s="53" t="s">
        <v>128</v>
      </c>
      <c r="D26" s="54" t="s">
        <v>129</v>
      </c>
    </row>
    <row r="27" spans="1:4" ht="22.5" customHeight="1" x14ac:dyDescent="0.25">
      <c r="A27" s="52"/>
      <c r="B27" s="53"/>
      <c r="C27" s="53" t="s">
        <v>130</v>
      </c>
      <c r="D27" s="54" t="s">
        <v>89</v>
      </c>
    </row>
    <row r="28" spans="1:4" ht="22.5" customHeight="1" x14ac:dyDescent="0.25">
      <c r="A28" s="52"/>
      <c r="B28" s="53"/>
      <c r="C28" s="53" t="s">
        <v>131</v>
      </c>
      <c r="D28" s="54" t="s">
        <v>89</v>
      </c>
    </row>
    <row r="29" spans="1:4" ht="22.5" customHeight="1" x14ac:dyDescent="0.25">
      <c r="A29" s="55" t="s">
        <v>132</v>
      </c>
      <c r="B29" s="56" t="s">
        <v>133</v>
      </c>
      <c r="C29" s="56" t="s">
        <v>134</v>
      </c>
      <c r="D29" s="57" t="s">
        <v>89</v>
      </c>
    </row>
    <row r="30" spans="1:4" ht="22.5" customHeight="1" x14ac:dyDescent="0.25">
      <c r="A30" s="55"/>
      <c r="B30" s="56"/>
      <c r="C30" s="56" t="s">
        <v>135</v>
      </c>
      <c r="D30" s="57" t="s">
        <v>89</v>
      </c>
    </row>
    <row r="31" spans="1:4" ht="22.5" customHeight="1" x14ac:dyDescent="0.25">
      <c r="A31" s="55"/>
      <c r="B31" s="56"/>
      <c r="C31" s="56" t="s">
        <v>136</v>
      </c>
      <c r="D31" s="57" t="s">
        <v>89</v>
      </c>
    </row>
    <row r="32" spans="1:4" ht="22.5" customHeight="1" x14ac:dyDescent="0.25">
      <c r="A32" s="55"/>
      <c r="B32" s="56"/>
      <c r="C32" s="56" t="s">
        <v>137</v>
      </c>
      <c r="D32" s="57" t="s">
        <v>89</v>
      </c>
    </row>
    <row r="33" spans="1:4" ht="22.5" customHeight="1" x14ac:dyDescent="0.25">
      <c r="A33" s="58" t="s">
        <v>138</v>
      </c>
      <c r="B33" s="26" t="s">
        <v>139</v>
      </c>
      <c r="C33" s="26" t="s">
        <v>140</v>
      </c>
      <c r="D33" s="59" t="s">
        <v>89</v>
      </c>
    </row>
    <row r="34" spans="1:4" ht="22.5" customHeight="1" x14ac:dyDescent="0.25">
      <c r="A34" s="60" t="s">
        <v>141</v>
      </c>
      <c r="B34" s="61" t="s">
        <v>142</v>
      </c>
      <c r="C34" s="61" t="s">
        <v>143</v>
      </c>
      <c r="D34" s="62" t="s">
        <v>89</v>
      </c>
    </row>
    <row r="35" spans="1:4" ht="22.5" customHeight="1" x14ac:dyDescent="0.25">
      <c r="A35" s="60"/>
      <c r="B35" s="63" t="s">
        <v>144</v>
      </c>
      <c r="C35" s="63" t="s">
        <v>145</v>
      </c>
      <c r="D35" s="64" t="s">
        <v>129</v>
      </c>
    </row>
    <row r="36" spans="1:4" ht="22.5" customHeight="1" x14ac:dyDescent="0.25">
      <c r="A36" s="60"/>
      <c r="B36" s="61"/>
      <c r="C36" s="61" t="s">
        <v>146</v>
      </c>
      <c r="D36" s="62" t="s">
        <v>89</v>
      </c>
    </row>
    <row r="37" spans="1:4" ht="22.5" customHeight="1" x14ac:dyDescent="0.25">
      <c r="A37" s="60"/>
      <c r="B37" s="61"/>
      <c r="C37" s="61" t="s">
        <v>147</v>
      </c>
      <c r="D37" s="62" t="s">
        <v>89</v>
      </c>
    </row>
    <row r="38" spans="1:4" ht="22.5" customHeight="1" x14ac:dyDescent="0.25">
      <c r="A38" s="60"/>
      <c r="B38" s="61"/>
      <c r="C38" s="61" t="s">
        <v>148</v>
      </c>
      <c r="D38" s="62" t="s">
        <v>89</v>
      </c>
    </row>
    <row r="39" spans="1:4" ht="22.5" customHeight="1" x14ac:dyDescent="0.25">
      <c r="A39" s="60"/>
      <c r="B39" s="61"/>
      <c r="C39" s="61" t="s">
        <v>149</v>
      </c>
      <c r="D39" s="62" t="s">
        <v>129</v>
      </c>
    </row>
    <row r="40" spans="1:4" ht="22.5" customHeight="1" x14ac:dyDescent="0.25">
      <c r="A40" s="60"/>
      <c r="B40" s="61"/>
      <c r="C40" s="61" t="s">
        <v>150</v>
      </c>
      <c r="D40" s="62" t="s">
        <v>129</v>
      </c>
    </row>
    <row r="41" spans="1:4" ht="22.5" customHeight="1" x14ac:dyDescent="0.25">
      <c r="A41" s="60"/>
      <c r="B41" s="61"/>
      <c r="C41" s="61" t="s">
        <v>151</v>
      </c>
      <c r="D41" s="62" t="s">
        <v>129</v>
      </c>
    </row>
    <row r="42" spans="1:4" ht="22.5" customHeight="1" x14ac:dyDescent="0.25">
      <c r="A42" s="60"/>
      <c r="B42" s="61"/>
      <c r="C42" s="61" t="s">
        <v>152</v>
      </c>
      <c r="D42" s="62" t="s">
        <v>89</v>
      </c>
    </row>
    <row r="43" spans="1:4" ht="22.5" customHeight="1" x14ac:dyDescent="0.25">
      <c r="A43" s="60"/>
      <c r="B43" s="61"/>
      <c r="C43" s="61" t="s">
        <v>153</v>
      </c>
      <c r="D43" s="62" t="s">
        <v>89</v>
      </c>
    </row>
    <row r="44" spans="1:4" ht="22.5" customHeight="1" x14ac:dyDescent="0.25">
      <c r="A44" s="60"/>
      <c r="B44" s="63" t="s">
        <v>142</v>
      </c>
      <c r="C44" s="63" t="s">
        <v>154</v>
      </c>
      <c r="D44" s="64" t="s">
        <v>89</v>
      </c>
    </row>
    <row r="45" spans="1:4" ht="22.5" customHeight="1" x14ac:dyDescent="0.25">
      <c r="A45" s="60"/>
      <c r="B45" s="61"/>
      <c r="C45" s="61" t="s">
        <v>155</v>
      </c>
      <c r="D45" s="62" t="s">
        <v>89</v>
      </c>
    </row>
    <row r="46" spans="1:4" ht="22.5" customHeight="1" x14ac:dyDescent="0.25">
      <c r="A46" s="65" t="s">
        <v>156</v>
      </c>
      <c r="B46" s="66" t="s">
        <v>157</v>
      </c>
      <c r="C46" s="66" t="s">
        <v>158</v>
      </c>
      <c r="D46" s="67" t="s">
        <v>89</v>
      </c>
    </row>
    <row r="47" spans="1:4" ht="22.5" customHeight="1" x14ac:dyDescent="0.25">
      <c r="A47" s="68"/>
      <c r="B47" s="66" t="s">
        <v>159</v>
      </c>
      <c r="C47" s="66" t="s">
        <v>160</v>
      </c>
      <c r="D47" s="67" t="s">
        <v>89</v>
      </c>
    </row>
    <row r="48" spans="1:4" ht="22.5" customHeight="1" x14ac:dyDescent="0.25">
      <c r="A48" s="68"/>
      <c r="B48" s="69"/>
      <c r="C48" s="69" t="s">
        <v>161</v>
      </c>
      <c r="D48" s="70" t="s">
        <v>89</v>
      </c>
    </row>
    <row r="49" spans="1:4" ht="22.5" customHeight="1" x14ac:dyDescent="0.25">
      <c r="A49" s="68"/>
      <c r="B49" s="69"/>
      <c r="C49" s="69" t="s">
        <v>162</v>
      </c>
      <c r="D49" s="70" t="s">
        <v>89</v>
      </c>
    </row>
    <row r="50" spans="1:4" ht="22.5" customHeight="1" x14ac:dyDescent="0.25">
      <c r="A50" s="68"/>
      <c r="B50" s="69"/>
      <c r="C50" s="69" t="s">
        <v>163</v>
      </c>
      <c r="D50" s="70" t="s">
        <v>129</v>
      </c>
    </row>
    <row r="51" spans="1:4" ht="22.5" customHeight="1" x14ac:dyDescent="0.25">
      <c r="A51" s="68"/>
      <c r="B51" s="69"/>
      <c r="C51" s="69" t="s">
        <v>164</v>
      </c>
      <c r="D51" s="70" t="s">
        <v>129</v>
      </c>
    </row>
    <row r="52" spans="1:4" ht="22.5" customHeight="1" x14ac:dyDescent="0.25">
      <c r="A52" s="68"/>
      <c r="B52" s="69"/>
      <c r="C52" s="69" t="s">
        <v>165</v>
      </c>
      <c r="D52" s="70" t="s">
        <v>89</v>
      </c>
    </row>
    <row r="53" spans="1:4" ht="22.5" customHeight="1" x14ac:dyDescent="0.25">
      <c r="A53" s="68"/>
      <c r="B53" s="69"/>
      <c r="C53" s="69" t="s">
        <v>166</v>
      </c>
      <c r="D53" s="70" t="s">
        <v>89</v>
      </c>
    </row>
    <row r="54" spans="1:4" ht="22.5" customHeight="1" x14ac:dyDescent="0.25">
      <c r="A54" s="68"/>
      <c r="B54" s="69"/>
      <c r="C54" s="69" t="s">
        <v>167</v>
      </c>
      <c r="D54" s="70" t="s">
        <v>129</v>
      </c>
    </row>
    <row r="55" spans="1:4" ht="22.5" customHeight="1" x14ac:dyDescent="0.25">
      <c r="A55" s="68"/>
      <c r="B55" s="66" t="s">
        <v>157</v>
      </c>
      <c r="C55" s="66" t="s">
        <v>168</v>
      </c>
      <c r="D55" s="67" t="s">
        <v>89</v>
      </c>
    </row>
    <row r="56" spans="1:4" ht="22.5" customHeight="1" x14ac:dyDescent="0.25">
      <c r="A56" s="68"/>
      <c r="B56" s="69"/>
      <c r="C56" s="69" t="s">
        <v>169</v>
      </c>
      <c r="D56" s="70" t="s">
        <v>89</v>
      </c>
    </row>
    <row r="57" spans="1:4" ht="22.5" customHeight="1" x14ac:dyDescent="0.25">
      <c r="A57" s="68"/>
      <c r="B57" s="69"/>
      <c r="C57" s="69" t="s">
        <v>170</v>
      </c>
      <c r="D57" s="70" t="s">
        <v>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2C4C9"/>
    <outlinePr summaryBelow="0" summaryRight="0"/>
  </sheetPr>
  <dimension ref="A1:G7"/>
  <sheetViews>
    <sheetView workbookViewId="0">
      <pane ySplit="1" topLeftCell="A2" activePane="bottomLeft" state="frozen"/>
      <selection pane="bottomLeft" activeCell="B3" sqref="B3"/>
    </sheetView>
  </sheetViews>
  <sheetFormatPr defaultColWidth="12.6640625" defaultRowHeight="15.75" customHeight="1" x14ac:dyDescent="0.25"/>
  <sheetData>
    <row r="1" spans="1:7" ht="22.5" customHeight="1" x14ac:dyDescent="0.25">
      <c r="A1" s="1" t="s">
        <v>417</v>
      </c>
      <c r="B1" s="1" t="s">
        <v>418</v>
      </c>
      <c r="D1" s="1" t="s">
        <v>419</v>
      </c>
      <c r="E1" s="1" t="s">
        <v>420</v>
      </c>
      <c r="F1" s="1" t="s">
        <v>421</v>
      </c>
      <c r="G1" s="1" t="s">
        <v>422</v>
      </c>
    </row>
    <row r="2" spans="1:7" ht="22.5" customHeight="1" x14ac:dyDescent="0.25">
      <c r="A2" s="78" t="s">
        <v>190</v>
      </c>
      <c r="B2" s="72">
        <f>COUNTIF(TestCase[TRẠNG THÁI], "PASS")</f>
        <v>14</v>
      </c>
      <c r="D2" s="85" t="s">
        <v>17</v>
      </c>
      <c r="E2" s="86">
        <f>COUNTIF(TestCase[THÀNH VIÊN], "Châu Nhật Duy")</f>
        <v>8</v>
      </c>
      <c r="F2" s="86">
        <f>COUNTIFS(TestCase[TRẠNG THÁI], "PASS", TestCase[THÀNH VIÊN], "Châu Nhật Duy") + COUNTIFS(TestCase[TRẠNG THÁI], "FAIL", TestCase[THÀNH VIÊN], "Châu Nhật Duy")</f>
        <v>5</v>
      </c>
      <c r="G2" s="87">
        <f t="shared" ref="G2:G7" si="0">E2-F2</f>
        <v>3</v>
      </c>
    </row>
    <row r="3" spans="1:7" ht="22.5" customHeight="1" x14ac:dyDescent="0.25">
      <c r="A3" s="78" t="s">
        <v>226</v>
      </c>
      <c r="B3" s="72">
        <f>COUNTIF(TestCase[TRẠNG THÁI], "FAIL")</f>
        <v>5</v>
      </c>
      <c r="D3" s="73" t="s">
        <v>15</v>
      </c>
      <c r="E3" s="86">
        <f>COUNTIF(TestCase[THÀNH VIÊN], "Nguyễn Thế Ngữ")</f>
        <v>7</v>
      </c>
      <c r="F3" s="86">
        <f>COUNTIFS(TestCase[TRẠNG THÁI], "PASS", TestCase[THÀNH VIÊN], "Nguyễn Thế Ngữ") + COUNTIFS(TestCase[TRẠNG THÁI], "FAIL", TestCase[THÀNH VIÊN], "Nguyễn Thế Ngữ")</f>
        <v>3</v>
      </c>
      <c r="G3" s="87">
        <f t="shared" si="0"/>
        <v>4</v>
      </c>
    </row>
    <row r="4" spans="1:7" ht="22.5" customHeight="1" x14ac:dyDescent="0.25">
      <c r="A4" s="78" t="s">
        <v>423</v>
      </c>
      <c r="B4" s="72">
        <f>B6-B5</f>
        <v>36</v>
      </c>
      <c r="D4" s="73" t="s">
        <v>27</v>
      </c>
      <c r="E4" s="86">
        <f>COUNTIF(TestCase[THÀNH VIÊN], "Nguyễn Bích Trâm")</f>
        <v>9</v>
      </c>
      <c r="F4" s="86">
        <f>COUNTIFS(TestCase[TRẠNG THÁI], "PASS", TestCase[THÀNH VIÊN], "Nguyễn Bích Trâm") + COUNTIFS(TestCase[TRẠNG THÁI], "FAIL", TestCase[THÀNH VIÊN], "Nguyễn Bích Trâm")</f>
        <v>3</v>
      </c>
      <c r="G4" s="87">
        <f t="shared" si="0"/>
        <v>6</v>
      </c>
    </row>
    <row r="5" spans="1:7" ht="22.5" customHeight="1" x14ac:dyDescent="0.25">
      <c r="A5" s="78" t="s">
        <v>424</v>
      </c>
      <c r="B5" s="72">
        <f>COUNTIF(TestCase[TRẠNG THÁI], "PASS") + COUNTIF(TestCase[TRẠNG THÁI], "FAIL")</f>
        <v>19</v>
      </c>
      <c r="D5" s="73" t="s">
        <v>11</v>
      </c>
      <c r="E5" s="86">
        <f>COUNTIF(TestCase[THÀNH VIÊN], "Võ Thị Thúy Ngân")</f>
        <v>8</v>
      </c>
      <c r="F5" s="86">
        <f>COUNTIFS(TestCase[TRẠNG THÁI], "PASS", TestCase[THÀNH VIÊN], "Võ Thị Thúy Ngân") + COUNTIFS(TestCase[TRẠNG THÁI], "FAIL", TestCase[THÀNH VIÊN], "Võ Thị Thúy Ngân")</f>
        <v>3</v>
      </c>
      <c r="G5" s="87">
        <f t="shared" si="0"/>
        <v>5</v>
      </c>
    </row>
    <row r="6" spans="1:7" ht="22.5" customHeight="1" x14ac:dyDescent="0.25">
      <c r="A6" s="78" t="s">
        <v>425</v>
      </c>
      <c r="B6" s="72">
        <f>COUNTA(TestCase[TestID])</f>
        <v>55</v>
      </c>
      <c r="D6" s="73" t="s">
        <v>13</v>
      </c>
      <c r="E6" s="86">
        <f>COUNTIF(TestCase[THÀNH VIÊN], "Vũ Đỗ Trường Kỳ")</f>
        <v>9</v>
      </c>
      <c r="F6" s="86">
        <f>COUNTIFS(TestCase[TRẠNG THÁI], "PASS", TestCase[THÀNH VIÊN], "Vũ Đỗ Trường Kỳ") + COUNTIFS(TestCase[TRẠNG THÁI], "FAIL", TestCase[THÀNH VIÊN], "Vũ Đỗ Trường Kỳ")</f>
        <v>3</v>
      </c>
      <c r="G6" s="87">
        <f t="shared" si="0"/>
        <v>6</v>
      </c>
    </row>
    <row r="7" spans="1:7" ht="22.5" customHeight="1" x14ac:dyDescent="0.25">
      <c r="D7" s="73" t="s">
        <v>19</v>
      </c>
      <c r="E7" s="86">
        <f>COUNTIF(TestCase[THÀNH VIÊN], "Lê Hữu Trọng")</f>
        <v>14</v>
      </c>
      <c r="F7" s="86">
        <f>COUNTIFS(TestCase[TRẠNG THÁI], "PASS", TestCase[THÀNH VIÊN], "Lê Hữu Trọng") + COUNTIFS(TestCase[TRẠNG THÁI], "FAIL", TestCase[THÀNH VIÊN], "Lê Hữu Trọng")</f>
        <v>2</v>
      </c>
      <c r="G7" s="87">
        <f t="shared" si="0"/>
        <v>12</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0E0E3"/>
    <outlinePr summaryBelow="0" summaryRight="0"/>
  </sheetPr>
  <dimension ref="A1:L56"/>
  <sheetViews>
    <sheetView workbookViewId="0">
      <pane ySplit="1" topLeftCell="A54" activePane="bottomLeft" state="frozen"/>
      <selection pane="bottomLeft" activeCell="D46" sqref="D46"/>
    </sheetView>
  </sheetViews>
  <sheetFormatPr defaultColWidth="12.6640625" defaultRowHeight="15.75" customHeight="1" x14ac:dyDescent="0.25"/>
  <cols>
    <col min="3" max="3" customWidth="true" width="18.21875"/>
    <col min="4" max="4" customWidth="true" width="46.109375"/>
    <col min="5" max="5" customWidth="true" width="22.6640625"/>
    <col min="6" max="6" customWidth="true" width="35.0"/>
    <col min="7" max="7" customWidth="true" width="19.6640625"/>
    <col min="8" max="8" customWidth="true" width="18.44140625"/>
    <col min="9" max="9" customWidth="true" width="17.33203125"/>
    <col min="10" max="10" customWidth="true" width="17.44140625"/>
    <col min="11" max="11" customWidth="true" width="15.21875"/>
    <col min="12" max="12" customWidth="true" width="16.77734375"/>
  </cols>
  <sheetData>
    <row r="1" spans="1:12" ht="22.5" customHeight="1" x14ac:dyDescent="0.25">
      <c r="A1" s="1" t="s">
        <v>171</v>
      </c>
      <c r="B1" s="1" t="s">
        <v>172</v>
      </c>
      <c r="C1" s="1" t="s">
        <v>173</v>
      </c>
      <c r="D1" s="1" t="s">
        <v>174</v>
      </c>
      <c r="E1" s="1" t="s">
        <v>175</v>
      </c>
      <c r="F1" s="1" t="s">
        <v>176</v>
      </c>
      <c r="G1" s="1" t="s">
        <v>177</v>
      </c>
      <c r="H1" s="1" t="s">
        <v>178</v>
      </c>
      <c r="I1" s="1" t="s">
        <v>179</v>
      </c>
      <c r="J1" s="1" t="s">
        <v>180</v>
      </c>
      <c r="K1" s="1" t="s">
        <v>181</v>
      </c>
      <c r="L1" s="71" t="s">
        <v>182</v>
      </c>
    </row>
    <row r="2" spans="1:12" ht="22.5" hidden="1" customHeight="1" x14ac:dyDescent="0.25">
      <c r="A2" s="2" t="s">
        <v>183</v>
      </c>
      <c r="B2" s="72" t="s">
        <v>184</v>
      </c>
      <c r="C2" s="73" t="s">
        <v>185</v>
      </c>
      <c r="D2" s="74" t="s">
        <v>186</v>
      </c>
      <c r="E2" s="73" t="s">
        <v>187</v>
      </c>
      <c r="F2" s="73" t="s">
        <v>188</v>
      </c>
      <c r="G2" s="73" t="s">
        <v>189</v>
      </c>
      <c r="H2" s="75" t="s">
        <v>190</v>
      </c>
      <c r="I2" s="72" t="s">
        <v>191</v>
      </c>
      <c r="J2" s="76">
        <v>46072</v>
      </c>
      <c r="K2" s="72" t="s">
        <v>27</v>
      </c>
      <c r="L2" s="77"/>
    </row>
    <row r="3" spans="1:12" ht="22.5" hidden="1" customHeight="1" x14ac:dyDescent="0.25">
      <c r="A3" s="78"/>
      <c r="B3" s="72" t="s">
        <v>192</v>
      </c>
      <c r="C3" s="73" t="s">
        <v>193</v>
      </c>
      <c r="D3" s="74" t="s">
        <v>194</v>
      </c>
      <c r="E3" s="73" t="s">
        <v>195</v>
      </c>
      <c r="F3" s="73" t="s">
        <v>196</v>
      </c>
      <c r="G3" s="73" t="s">
        <v>189</v>
      </c>
      <c r="H3" s="75" t="s">
        <v>190</v>
      </c>
      <c r="I3" s="72" t="s">
        <v>191</v>
      </c>
      <c r="J3" s="76">
        <v>46072</v>
      </c>
      <c r="K3" s="72" t="s">
        <v>11</v>
      </c>
      <c r="L3" s="77"/>
    </row>
    <row r="4" spans="1:12" ht="22.5" hidden="1" customHeight="1" x14ac:dyDescent="0.25">
      <c r="A4" s="78"/>
      <c r="B4" s="72" t="s">
        <v>197</v>
      </c>
      <c r="C4" s="73" t="s">
        <v>198</v>
      </c>
      <c r="D4" s="74" t="s">
        <v>199</v>
      </c>
      <c r="E4" s="73" t="s">
        <v>200</v>
      </c>
      <c r="F4" s="73" t="s">
        <v>201</v>
      </c>
      <c r="G4" s="73" t="s">
        <v>189</v>
      </c>
      <c r="H4" s="75" t="s">
        <v>190</v>
      </c>
      <c r="I4" s="72" t="s">
        <v>191</v>
      </c>
      <c r="J4" s="76">
        <v>46073</v>
      </c>
      <c r="K4" s="3" t="s">
        <v>13</v>
      </c>
      <c r="L4" s="77"/>
    </row>
    <row r="5" spans="1:12" ht="22.5" hidden="1" customHeight="1" x14ac:dyDescent="0.25">
      <c r="A5" s="78"/>
      <c r="B5" s="72" t="s">
        <v>202</v>
      </c>
      <c r="C5" s="73" t="s">
        <v>203</v>
      </c>
      <c r="D5" s="74" t="s">
        <v>204</v>
      </c>
      <c r="E5" s="73" t="s">
        <v>205</v>
      </c>
      <c r="F5" s="73" t="s">
        <v>206</v>
      </c>
      <c r="G5" s="73" t="s">
        <v>189</v>
      </c>
      <c r="H5" s="75" t="s">
        <v>190</v>
      </c>
      <c r="I5" s="72" t="s">
        <v>191</v>
      </c>
      <c r="J5" s="76">
        <v>46072</v>
      </c>
      <c r="K5" s="72" t="s">
        <v>15</v>
      </c>
      <c r="L5" s="77"/>
    </row>
    <row r="6" spans="1:12" ht="22.5" hidden="1" customHeight="1" x14ac:dyDescent="0.25">
      <c r="A6" s="78"/>
      <c r="B6" s="72" t="s">
        <v>207</v>
      </c>
      <c r="C6" s="73" t="s">
        <v>208</v>
      </c>
      <c r="D6" s="74" t="s">
        <v>209</v>
      </c>
      <c r="E6" s="73" t="s">
        <v>187</v>
      </c>
      <c r="F6" s="73" t="s">
        <v>210</v>
      </c>
      <c r="G6" s="73" t="s">
        <v>189</v>
      </c>
      <c r="H6" s="75" t="s">
        <v>190</v>
      </c>
      <c r="I6" s="72" t="s">
        <v>191</v>
      </c>
      <c r="J6" s="76">
        <v>46072</v>
      </c>
      <c r="K6" s="72" t="s">
        <v>17</v>
      </c>
      <c r="L6" s="77"/>
    </row>
    <row r="7" spans="1:12" ht="22.5" hidden="1" customHeight="1" x14ac:dyDescent="0.25">
      <c r="A7" s="78"/>
      <c r="B7" s="72" t="s">
        <v>211</v>
      </c>
      <c r="C7" s="73" t="s">
        <v>212</v>
      </c>
      <c r="D7" s="74" t="s">
        <v>213</v>
      </c>
      <c r="E7" s="73" t="s">
        <v>187</v>
      </c>
      <c r="F7" s="5" t="s">
        <v>214</v>
      </c>
      <c r="G7" s="73" t="s">
        <v>189</v>
      </c>
      <c r="H7" s="75" t="s">
        <v>190</v>
      </c>
      <c r="I7" s="72" t="s">
        <v>191</v>
      </c>
      <c r="J7" s="76">
        <v>46075</v>
      </c>
      <c r="K7" s="72" t="s">
        <v>27</v>
      </c>
      <c r="L7" s="77"/>
    </row>
    <row r="8" spans="1:12" ht="22.5" customHeight="1" x14ac:dyDescent="0.25">
      <c r="A8" s="82" t="s">
        <v>215</v>
      </c>
      <c r="B8" s="88" t="s">
        <v>216</v>
      </c>
      <c r="C8" s="84" t="s">
        <v>217</v>
      </c>
      <c r="D8" s="74" t="s">
        <v>218</v>
      </c>
      <c r="E8" s="84" t="s">
        <v>219</v>
      </c>
      <c r="F8" s="84" t="s">
        <v>220</v>
      </c>
      <c r="G8" s="84" t="s">
        <v>189</v>
      </c>
      <c r="H8" s="88" t="s">
        <v>190</v>
      </c>
      <c r="I8" s="88" t="s">
        <v>191</v>
      </c>
      <c r="J8" s="89">
        <v>46074</v>
      </c>
      <c r="K8" s="88" t="s">
        <v>19</v>
      </c>
      <c r="L8" s="84"/>
    </row>
    <row r="9" spans="1:12" ht="22.5" hidden="1" customHeight="1" x14ac:dyDescent="0.25">
      <c r="A9" s="78"/>
      <c r="B9" s="72" t="s">
        <v>221</v>
      </c>
      <c r="C9" s="73" t="s">
        <v>222</v>
      </c>
      <c r="D9" s="74" t="s">
        <v>223</v>
      </c>
      <c r="E9" s="73" t="s">
        <v>219</v>
      </c>
      <c r="F9" s="73" t="s">
        <v>224</v>
      </c>
      <c r="G9" s="73" t="s">
        <v>225</v>
      </c>
      <c r="H9" s="75" t="s">
        <v>226</v>
      </c>
      <c r="I9" s="72" t="s">
        <v>191</v>
      </c>
      <c r="J9" s="76">
        <v>46075</v>
      </c>
      <c r="K9" s="72" t="s">
        <v>17</v>
      </c>
      <c r="L9" s="79" t="s">
        <v>227</v>
      </c>
    </row>
    <row r="10" spans="1:12" ht="22.5" hidden="1" customHeight="1" x14ac:dyDescent="0.25">
      <c r="A10" s="78"/>
      <c r="B10" s="72" t="s">
        <v>228</v>
      </c>
      <c r="C10" s="73" t="s">
        <v>229</v>
      </c>
      <c r="D10" s="74" t="s">
        <v>230</v>
      </c>
      <c r="E10" s="73" t="s">
        <v>219</v>
      </c>
      <c r="F10" s="73" t="s">
        <v>231</v>
      </c>
      <c r="G10" s="73" t="s">
        <v>232</v>
      </c>
      <c r="H10" s="75" t="s">
        <v>226</v>
      </c>
      <c r="I10" s="72" t="s">
        <v>191</v>
      </c>
      <c r="J10" s="76">
        <v>46075</v>
      </c>
      <c r="K10" s="72" t="s">
        <v>15</v>
      </c>
      <c r="L10" s="79" t="s">
        <v>233</v>
      </c>
    </row>
    <row r="11" spans="1:12" ht="22.5" hidden="1" customHeight="1" x14ac:dyDescent="0.25">
      <c r="A11" s="78"/>
      <c r="B11" s="72" t="s">
        <v>234</v>
      </c>
      <c r="C11" s="73" t="s">
        <v>235</v>
      </c>
      <c r="D11" s="74" t="s">
        <v>236</v>
      </c>
      <c r="E11" s="73" t="s">
        <v>219</v>
      </c>
      <c r="F11" s="73" t="s">
        <v>237</v>
      </c>
      <c r="G11" s="73" t="s">
        <v>238</v>
      </c>
      <c r="H11" s="75" t="s">
        <v>226</v>
      </c>
      <c r="I11" s="72" t="s">
        <v>191</v>
      </c>
      <c r="J11" s="76">
        <v>46074</v>
      </c>
      <c r="K11" s="72" t="s">
        <v>13</v>
      </c>
      <c r="L11" s="79" t="s">
        <v>239</v>
      </c>
    </row>
    <row r="12" spans="1:12" ht="22.5" hidden="1" customHeight="1" x14ac:dyDescent="0.25">
      <c r="A12" s="78"/>
      <c r="B12" s="72" t="s">
        <v>240</v>
      </c>
      <c r="C12" s="73" t="s">
        <v>241</v>
      </c>
      <c r="D12" s="74" t="s">
        <v>242</v>
      </c>
      <c r="E12" s="73" t="s">
        <v>219</v>
      </c>
      <c r="F12" s="73" t="s">
        <v>243</v>
      </c>
      <c r="G12" s="73" t="s">
        <v>189</v>
      </c>
      <c r="H12" s="75" t="s">
        <v>190</v>
      </c>
      <c r="I12" s="72" t="s">
        <v>191</v>
      </c>
      <c r="J12" s="76">
        <v>46074</v>
      </c>
      <c r="K12" s="72" t="s">
        <v>11</v>
      </c>
      <c r="L12" s="77"/>
    </row>
    <row r="13" spans="1:12" ht="22.5" hidden="1" customHeight="1" x14ac:dyDescent="0.25">
      <c r="A13" s="78"/>
      <c r="B13" s="72" t="s">
        <v>244</v>
      </c>
      <c r="C13" s="73" t="s">
        <v>245</v>
      </c>
      <c r="D13" s="74" t="s">
        <v>246</v>
      </c>
      <c r="E13" s="73" t="s">
        <v>219</v>
      </c>
      <c r="F13" s="73" t="s">
        <v>247</v>
      </c>
      <c r="G13" s="73" t="s">
        <v>248</v>
      </c>
      <c r="H13" s="75" t="s">
        <v>226</v>
      </c>
      <c r="I13" s="72" t="s">
        <v>191</v>
      </c>
      <c r="J13" s="76">
        <v>46074</v>
      </c>
      <c r="K13" s="72" t="s">
        <v>27</v>
      </c>
      <c r="L13" s="79" t="s">
        <v>239</v>
      </c>
    </row>
    <row r="14" spans="1:12" ht="22.5" hidden="1" customHeight="1" x14ac:dyDescent="0.25">
      <c r="A14" s="78" t="s">
        <v>249</v>
      </c>
      <c r="B14" s="72" t="s">
        <v>250</v>
      </c>
      <c r="C14" s="73" t="s">
        <v>251</v>
      </c>
      <c r="D14" s="74" t="s">
        <v>252</v>
      </c>
      <c r="E14" s="73" t="s">
        <v>253</v>
      </c>
      <c r="F14" s="73" t="s">
        <v>254</v>
      </c>
      <c r="G14" s="73" t="s">
        <v>189</v>
      </c>
      <c r="H14" s="75" t="s">
        <v>190</v>
      </c>
      <c r="I14" s="72" t="s">
        <v>191</v>
      </c>
      <c r="J14" s="76">
        <v>46075</v>
      </c>
      <c r="K14" s="72" t="s">
        <v>11</v>
      </c>
      <c r="L14" s="77"/>
    </row>
    <row r="15" spans="1:12" ht="22.5" hidden="1" customHeight="1" x14ac:dyDescent="0.25">
      <c r="A15" s="78"/>
      <c r="B15" s="72" t="s">
        <v>255</v>
      </c>
      <c r="C15" s="73" t="s">
        <v>256</v>
      </c>
      <c r="D15" s="74" t="s">
        <v>257</v>
      </c>
      <c r="E15" s="73" t="s">
        <v>258</v>
      </c>
      <c r="F15" s="73" t="s">
        <v>259</v>
      </c>
      <c r="G15" s="73" t="s">
        <v>189</v>
      </c>
      <c r="H15" s="75" t="s">
        <v>190</v>
      </c>
      <c r="I15" s="72" t="s">
        <v>191</v>
      </c>
      <c r="J15" s="76">
        <v>46075</v>
      </c>
      <c r="K15" s="3" t="s">
        <v>13</v>
      </c>
      <c r="L15" s="77"/>
    </row>
    <row r="16" spans="1:12" ht="22.5" hidden="1" customHeight="1" x14ac:dyDescent="0.25">
      <c r="A16" s="78"/>
      <c r="B16" s="72" t="s">
        <v>260</v>
      </c>
      <c r="C16" s="73" t="s">
        <v>261</v>
      </c>
      <c r="D16" s="74" t="s">
        <v>262</v>
      </c>
      <c r="E16" s="73" t="s">
        <v>263</v>
      </c>
      <c r="F16" s="73" t="s">
        <v>264</v>
      </c>
      <c r="G16" s="73" t="s">
        <v>189</v>
      </c>
      <c r="H16" s="75" t="s">
        <v>190</v>
      </c>
      <c r="I16" s="72" t="s">
        <v>191</v>
      </c>
      <c r="J16" s="76">
        <v>46075</v>
      </c>
      <c r="K16" s="72" t="s">
        <v>15</v>
      </c>
      <c r="L16" s="77"/>
    </row>
    <row r="17" spans="1:12" ht="22.5" hidden="1" customHeight="1" x14ac:dyDescent="0.25">
      <c r="A17" s="78"/>
      <c r="B17" s="72" t="s">
        <v>265</v>
      </c>
      <c r="C17" s="73" t="s">
        <v>266</v>
      </c>
      <c r="D17" s="74" t="s">
        <v>267</v>
      </c>
      <c r="E17" s="73" t="s">
        <v>268</v>
      </c>
      <c r="F17" s="73" t="s">
        <v>269</v>
      </c>
      <c r="G17" s="73" t="s">
        <v>189</v>
      </c>
      <c r="H17" s="75" t="s">
        <v>190</v>
      </c>
      <c r="I17" s="72" t="s">
        <v>191</v>
      </c>
      <c r="J17" s="76">
        <v>46075</v>
      </c>
      <c r="K17" s="72" t="s">
        <v>17</v>
      </c>
      <c r="L17" s="77"/>
    </row>
    <row r="18" spans="1:12" ht="22.5" customHeight="1" x14ac:dyDescent="0.25">
      <c r="A18" s="82"/>
      <c r="B18" s="88" t="s">
        <v>270</v>
      </c>
      <c r="C18" s="84" t="s">
        <v>271</v>
      </c>
      <c r="D18" s="74" t="s">
        <v>272</v>
      </c>
      <c r="E18" s="84" t="s">
        <v>253</v>
      </c>
      <c r="F18" s="84" t="s">
        <v>273</v>
      </c>
      <c r="G18" s="84" t="s">
        <v>189</v>
      </c>
      <c r="H18" s="88" t="s">
        <v>190</v>
      </c>
      <c r="I18" s="88" t="s">
        <v>191</v>
      </c>
      <c r="J18" s="89">
        <v>46076</v>
      </c>
      <c r="K18" s="88" t="s">
        <v>19</v>
      </c>
      <c r="L18" s="84"/>
    </row>
    <row r="19" spans="1:12" ht="22.5" hidden="1" customHeight="1" x14ac:dyDescent="0.25">
      <c r="A19" s="78" t="s">
        <v>274</v>
      </c>
      <c r="B19" s="72" t="s">
        <v>275</v>
      </c>
      <c r="C19" s="73" t="s">
        <v>276</v>
      </c>
      <c r="D19" s="74" t="s">
        <v>277</v>
      </c>
      <c r="E19" s="73" t="s">
        <v>278</v>
      </c>
      <c r="F19" s="73" t="s">
        <v>279</v>
      </c>
      <c r="G19" s="73"/>
      <c r="H19" s="75"/>
      <c r="I19" s="72" t="s">
        <v>191</v>
      </c>
      <c r="J19" s="76">
        <v>46077</v>
      </c>
      <c r="K19" s="72" t="s">
        <v>27</v>
      </c>
      <c r="L19" s="80"/>
    </row>
    <row r="20" spans="1:12" ht="22.5" hidden="1" customHeight="1" x14ac:dyDescent="0.25">
      <c r="A20" s="78"/>
      <c r="B20" s="72" t="s">
        <v>280</v>
      </c>
      <c r="C20" s="73" t="s">
        <v>281</v>
      </c>
      <c r="D20" s="81" t="s">
        <v>282</v>
      </c>
      <c r="E20" s="73" t="s">
        <v>278</v>
      </c>
      <c r="F20" s="73" t="s">
        <v>279</v>
      </c>
      <c r="G20" s="73"/>
      <c r="H20" s="75"/>
      <c r="I20" s="72" t="s">
        <v>191</v>
      </c>
      <c r="J20" s="76">
        <v>46077</v>
      </c>
      <c r="K20" s="72" t="s">
        <v>27</v>
      </c>
      <c r="L20" s="80"/>
    </row>
    <row r="21" spans="1:12" ht="22.5" hidden="1" customHeight="1" x14ac:dyDescent="0.25">
      <c r="A21" s="78"/>
      <c r="B21" s="72" t="s">
        <v>283</v>
      </c>
      <c r="C21" s="73" t="s">
        <v>284</v>
      </c>
      <c r="D21" s="74" t="s">
        <v>285</v>
      </c>
      <c r="E21" s="73" t="s">
        <v>278</v>
      </c>
      <c r="F21" s="73" t="s">
        <v>279</v>
      </c>
      <c r="G21" s="73"/>
      <c r="H21" s="75"/>
      <c r="I21" s="72" t="s">
        <v>191</v>
      </c>
      <c r="J21" s="76">
        <v>46077</v>
      </c>
      <c r="K21" s="72" t="s">
        <v>27</v>
      </c>
      <c r="L21" s="80"/>
    </row>
    <row r="22" spans="1:12" ht="22.5" hidden="1" customHeight="1" x14ac:dyDescent="0.25">
      <c r="A22" s="78"/>
      <c r="B22" s="72" t="s">
        <v>286</v>
      </c>
      <c r="C22" s="73" t="s">
        <v>287</v>
      </c>
      <c r="D22" s="74" t="s">
        <v>288</v>
      </c>
      <c r="E22" s="73" t="s">
        <v>278</v>
      </c>
      <c r="F22" s="73" t="s">
        <v>279</v>
      </c>
      <c r="G22" s="73"/>
      <c r="H22" s="75"/>
      <c r="I22" s="72" t="s">
        <v>191</v>
      </c>
      <c r="J22" s="76">
        <v>46077</v>
      </c>
      <c r="K22" s="72" t="s">
        <v>27</v>
      </c>
      <c r="L22" s="80"/>
    </row>
    <row r="23" spans="1:12" ht="22.5" hidden="1" customHeight="1" x14ac:dyDescent="0.25">
      <c r="A23" s="78"/>
      <c r="B23" s="72" t="s">
        <v>289</v>
      </c>
      <c r="C23" s="73" t="s">
        <v>290</v>
      </c>
      <c r="D23" s="74" t="s">
        <v>291</v>
      </c>
      <c r="E23" s="73" t="s">
        <v>278</v>
      </c>
      <c r="F23" s="73" t="s">
        <v>279</v>
      </c>
      <c r="G23" s="73"/>
      <c r="H23" s="75"/>
      <c r="I23" s="72" t="s">
        <v>191</v>
      </c>
      <c r="J23" s="76">
        <v>46077</v>
      </c>
      <c r="K23" s="72" t="s">
        <v>27</v>
      </c>
      <c r="L23" s="80"/>
    </row>
    <row r="24" spans="1:12" ht="22.5" hidden="1" customHeight="1" x14ac:dyDescent="0.25">
      <c r="A24" s="78"/>
      <c r="B24" s="72" t="s">
        <v>292</v>
      </c>
      <c r="C24" s="73" t="s">
        <v>293</v>
      </c>
      <c r="D24" s="74" t="s">
        <v>294</v>
      </c>
      <c r="E24" s="73" t="s">
        <v>278</v>
      </c>
      <c r="F24" s="73" t="s">
        <v>279</v>
      </c>
      <c r="G24" s="73"/>
      <c r="H24" s="75"/>
      <c r="I24" s="72" t="s">
        <v>191</v>
      </c>
      <c r="J24" s="76">
        <v>46077</v>
      </c>
      <c r="K24" s="72" t="s">
        <v>27</v>
      </c>
      <c r="L24" s="80"/>
    </row>
    <row r="25" spans="1:12" ht="22.5" hidden="1" customHeight="1" x14ac:dyDescent="0.25">
      <c r="A25" s="78" t="s">
        <v>123</v>
      </c>
      <c r="B25" s="72" t="s">
        <v>295</v>
      </c>
      <c r="C25" s="73" t="s">
        <v>296</v>
      </c>
      <c r="D25" s="74" t="s">
        <v>297</v>
      </c>
      <c r="E25" s="73" t="s">
        <v>298</v>
      </c>
      <c r="F25" s="73" t="s">
        <v>299</v>
      </c>
      <c r="G25" s="73"/>
      <c r="H25" s="75"/>
      <c r="I25" s="72" t="s">
        <v>191</v>
      </c>
      <c r="J25" s="76">
        <v>46077</v>
      </c>
      <c r="K25" s="72" t="s">
        <v>11</v>
      </c>
      <c r="L25" s="80"/>
    </row>
    <row r="26" spans="1:12" ht="22.5" hidden="1" customHeight="1" x14ac:dyDescent="0.25">
      <c r="A26" s="78"/>
      <c r="B26" s="72" t="s">
        <v>300</v>
      </c>
      <c r="C26" s="73" t="s">
        <v>301</v>
      </c>
      <c r="D26" s="74" t="s">
        <v>302</v>
      </c>
      <c r="E26" s="73" t="s">
        <v>298</v>
      </c>
      <c r="F26" s="73" t="s">
        <v>303</v>
      </c>
      <c r="G26" s="73"/>
      <c r="H26" s="75"/>
      <c r="I26" s="72" t="s">
        <v>191</v>
      </c>
      <c r="J26" s="76">
        <v>46077</v>
      </c>
      <c r="K26" s="72" t="s">
        <v>11</v>
      </c>
      <c r="L26" s="80"/>
    </row>
    <row r="27" spans="1:12" ht="22.5" hidden="1" customHeight="1" x14ac:dyDescent="0.25">
      <c r="A27" s="78"/>
      <c r="B27" s="72" t="s">
        <v>304</v>
      </c>
      <c r="C27" s="73" t="s">
        <v>305</v>
      </c>
      <c r="D27" s="74" t="s">
        <v>306</v>
      </c>
      <c r="E27" s="73" t="s">
        <v>298</v>
      </c>
      <c r="F27" s="73" t="s">
        <v>307</v>
      </c>
      <c r="G27" s="73"/>
      <c r="H27" s="75"/>
      <c r="I27" s="72" t="s">
        <v>191</v>
      </c>
      <c r="J27" s="76">
        <v>46077</v>
      </c>
      <c r="K27" s="72" t="s">
        <v>11</v>
      </c>
      <c r="L27" s="80"/>
    </row>
    <row r="28" spans="1:12" ht="22.5" hidden="1" customHeight="1" x14ac:dyDescent="0.25">
      <c r="A28" s="78"/>
      <c r="B28" s="72" t="s">
        <v>308</v>
      </c>
      <c r="C28" s="73" t="s">
        <v>309</v>
      </c>
      <c r="D28" s="74" t="s">
        <v>310</v>
      </c>
      <c r="E28" s="73" t="s">
        <v>298</v>
      </c>
      <c r="F28" s="73" t="s">
        <v>311</v>
      </c>
      <c r="G28" s="73"/>
      <c r="H28" s="75"/>
      <c r="I28" s="72" t="s">
        <v>191</v>
      </c>
      <c r="J28" s="76">
        <v>46077</v>
      </c>
      <c r="K28" s="72" t="s">
        <v>11</v>
      </c>
      <c r="L28" s="80"/>
    </row>
    <row r="29" spans="1:12" ht="22.5" hidden="1" customHeight="1" x14ac:dyDescent="0.25">
      <c r="A29" s="78"/>
      <c r="B29" s="72" t="s">
        <v>312</v>
      </c>
      <c r="C29" s="73" t="s">
        <v>313</v>
      </c>
      <c r="D29" s="74" t="s">
        <v>314</v>
      </c>
      <c r="E29" s="73" t="s">
        <v>298</v>
      </c>
      <c r="F29" s="73" t="s">
        <v>315</v>
      </c>
      <c r="G29" s="73"/>
      <c r="H29" s="75"/>
      <c r="I29" s="72" t="s">
        <v>191</v>
      </c>
      <c r="J29" s="76">
        <v>46077</v>
      </c>
      <c r="K29" s="72" t="s">
        <v>11</v>
      </c>
      <c r="L29" s="80"/>
    </row>
    <row r="30" spans="1:12" ht="22.5" hidden="1" customHeight="1" x14ac:dyDescent="0.25">
      <c r="A30" s="82" t="s">
        <v>316</v>
      </c>
      <c r="B30" s="72" t="s">
        <v>317</v>
      </c>
      <c r="C30" s="73" t="s">
        <v>318</v>
      </c>
      <c r="D30" s="74" t="s">
        <v>319</v>
      </c>
      <c r="E30" s="73" t="s">
        <v>320</v>
      </c>
      <c r="F30" s="73" t="s">
        <v>321</v>
      </c>
      <c r="G30" s="73"/>
      <c r="H30" s="75"/>
      <c r="I30" s="72" t="s">
        <v>191</v>
      </c>
      <c r="J30" s="76">
        <v>46077</v>
      </c>
      <c r="K30" s="72" t="s">
        <v>13</v>
      </c>
      <c r="L30" s="80"/>
    </row>
    <row r="31" spans="1:12" ht="22.5" hidden="1" customHeight="1" x14ac:dyDescent="0.25">
      <c r="A31" s="82"/>
      <c r="B31" s="72" t="s">
        <v>322</v>
      </c>
      <c r="C31" s="73" t="s">
        <v>323</v>
      </c>
      <c r="D31" s="74" t="s">
        <v>324</v>
      </c>
      <c r="E31" s="73" t="s">
        <v>325</v>
      </c>
      <c r="F31" s="73" t="s">
        <v>326</v>
      </c>
      <c r="G31" s="73"/>
      <c r="H31" s="75"/>
      <c r="I31" s="72" t="s">
        <v>191</v>
      </c>
      <c r="J31" s="76">
        <v>46077</v>
      </c>
      <c r="K31" s="72" t="s">
        <v>13</v>
      </c>
      <c r="L31" s="80"/>
    </row>
    <row r="32" spans="1:12" ht="22.5" hidden="1" customHeight="1" x14ac:dyDescent="0.25">
      <c r="A32" s="82"/>
      <c r="B32" s="72" t="s">
        <v>327</v>
      </c>
      <c r="C32" s="73" t="s">
        <v>328</v>
      </c>
      <c r="D32" s="74" t="s">
        <v>329</v>
      </c>
      <c r="E32" s="73" t="s">
        <v>330</v>
      </c>
      <c r="F32" s="73" t="s">
        <v>331</v>
      </c>
      <c r="G32" s="73"/>
      <c r="H32" s="75"/>
      <c r="I32" s="72" t="s">
        <v>191</v>
      </c>
      <c r="J32" s="76">
        <v>46077</v>
      </c>
      <c r="K32" s="72" t="s">
        <v>13</v>
      </c>
      <c r="L32" s="80"/>
    </row>
    <row r="33" spans="1:12" ht="22.5" hidden="1" customHeight="1" x14ac:dyDescent="0.25">
      <c r="A33" s="82"/>
      <c r="B33" s="72" t="s">
        <v>332</v>
      </c>
      <c r="C33" s="73" t="s">
        <v>333</v>
      </c>
      <c r="D33" s="74" t="s">
        <v>334</v>
      </c>
      <c r="E33" s="73" t="s">
        <v>330</v>
      </c>
      <c r="F33" s="73" t="s">
        <v>335</v>
      </c>
      <c r="G33" s="73"/>
      <c r="H33" s="75"/>
      <c r="I33" s="72" t="s">
        <v>191</v>
      </c>
      <c r="J33" s="76">
        <v>46077</v>
      </c>
      <c r="K33" s="72" t="s">
        <v>13</v>
      </c>
      <c r="L33" s="80"/>
    </row>
    <row r="34" spans="1:12" ht="22.5" hidden="1" customHeight="1" x14ac:dyDescent="0.25">
      <c r="A34" s="82"/>
      <c r="B34" s="72" t="s">
        <v>336</v>
      </c>
      <c r="C34" s="73" t="s">
        <v>198</v>
      </c>
      <c r="D34" s="74" t="s">
        <v>337</v>
      </c>
      <c r="E34" s="73" t="s">
        <v>338</v>
      </c>
      <c r="F34" s="73" t="s">
        <v>339</v>
      </c>
      <c r="G34" s="73"/>
      <c r="H34" s="75"/>
      <c r="I34" s="72" t="s">
        <v>191</v>
      </c>
      <c r="J34" s="76">
        <v>46077</v>
      </c>
      <c r="K34" s="72" t="s">
        <v>13</v>
      </c>
      <c r="L34" s="80"/>
    </row>
    <row r="35" spans="1:12" ht="22.5" hidden="1" customHeight="1" x14ac:dyDescent="0.25">
      <c r="A35" s="82" t="s">
        <v>141</v>
      </c>
      <c r="B35" s="72" t="s">
        <v>340</v>
      </c>
      <c r="C35" s="73" t="s">
        <v>341</v>
      </c>
      <c r="D35" s="74" t="s">
        <v>342</v>
      </c>
      <c r="E35" s="73" t="s">
        <v>343</v>
      </c>
      <c r="F35" s="73" t="s">
        <v>344</v>
      </c>
      <c r="G35" s="73"/>
      <c r="H35" s="75" t="s">
        <v>190</v>
      </c>
      <c r="I35" s="72" t="s">
        <v>191</v>
      </c>
      <c r="J35" s="76">
        <v>46078</v>
      </c>
      <c r="K35" s="72" t="s">
        <v>17</v>
      </c>
      <c r="L35" s="80"/>
    </row>
    <row r="36" spans="1:12" ht="22.5" hidden="1" customHeight="1" x14ac:dyDescent="0.25">
      <c r="A36" s="82"/>
      <c r="B36" s="72" t="s">
        <v>345</v>
      </c>
      <c r="C36" s="73" t="s">
        <v>346</v>
      </c>
      <c r="D36" s="74" t="s">
        <v>347</v>
      </c>
      <c r="E36" s="73" t="s">
        <v>343</v>
      </c>
      <c r="F36" s="73" t="s">
        <v>348</v>
      </c>
      <c r="G36" s="73"/>
      <c r="H36" s="75" t="s">
        <v>226</v>
      </c>
      <c r="I36" s="72" t="s">
        <v>191</v>
      </c>
      <c r="J36" s="76">
        <v>46078</v>
      </c>
      <c r="K36" s="72" t="s">
        <v>17</v>
      </c>
      <c r="L36" s="83" t="s">
        <v>227</v>
      </c>
    </row>
    <row r="37" spans="1:12" ht="22.5" hidden="1" customHeight="1" x14ac:dyDescent="0.25">
      <c r="A37" s="82"/>
      <c r="B37" s="72" t="s">
        <v>349</v>
      </c>
      <c r="C37" s="73" t="s">
        <v>350</v>
      </c>
      <c r="D37" s="74" t="s">
        <v>351</v>
      </c>
      <c r="E37" s="73" t="s">
        <v>343</v>
      </c>
      <c r="F37" s="73" t="s">
        <v>352</v>
      </c>
      <c r="G37" s="73"/>
      <c r="H37" s="75"/>
      <c r="I37" s="72" t="s">
        <v>191</v>
      </c>
      <c r="J37" s="76">
        <v>46078</v>
      </c>
      <c r="K37" s="72" t="s">
        <v>17</v>
      </c>
      <c r="L37" s="80"/>
    </row>
    <row r="38" spans="1:12" ht="22.5" hidden="1" customHeight="1" x14ac:dyDescent="0.25">
      <c r="A38" s="82"/>
      <c r="B38" s="72" t="s">
        <v>353</v>
      </c>
      <c r="C38" s="73" t="s">
        <v>354</v>
      </c>
      <c r="D38" s="74" t="s">
        <v>355</v>
      </c>
      <c r="E38" s="73" t="s">
        <v>343</v>
      </c>
      <c r="F38" s="73" t="s">
        <v>356</v>
      </c>
      <c r="G38" s="73"/>
      <c r="H38" s="75"/>
      <c r="I38" s="72" t="s">
        <v>191</v>
      </c>
      <c r="J38" s="76">
        <v>46078</v>
      </c>
      <c r="K38" s="72" t="s">
        <v>17</v>
      </c>
      <c r="L38" s="80"/>
    </row>
    <row r="39" spans="1:12" ht="22.5" hidden="1" customHeight="1" x14ac:dyDescent="0.25">
      <c r="A39" s="82"/>
      <c r="B39" s="72" t="s">
        <v>357</v>
      </c>
      <c r="C39" s="73" t="s">
        <v>358</v>
      </c>
      <c r="D39" s="74" t="s">
        <v>359</v>
      </c>
      <c r="E39" s="73" t="s">
        <v>360</v>
      </c>
      <c r="F39" s="73" t="s">
        <v>361</v>
      </c>
      <c r="G39" s="73"/>
      <c r="H39" s="75"/>
      <c r="I39" s="72" t="s">
        <v>191</v>
      </c>
      <c r="J39" s="76">
        <v>46078</v>
      </c>
      <c r="K39" s="72" t="s">
        <v>17</v>
      </c>
      <c r="L39" s="80"/>
    </row>
    <row r="40" spans="1:12" ht="22.5" hidden="1" customHeight="1" x14ac:dyDescent="0.25">
      <c r="A40" s="82"/>
      <c r="B40" s="72" t="s">
        <v>362</v>
      </c>
      <c r="C40" s="73" t="s">
        <v>363</v>
      </c>
      <c r="D40" s="74" t="s">
        <v>364</v>
      </c>
      <c r="E40" s="73" t="s">
        <v>360</v>
      </c>
      <c r="F40" s="73" t="s">
        <v>365</v>
      </c>
      <c r="G40" s="73"/>
      <c r="H40" s="75"/>
      <c r="I40" s="72" t="s">
        <v>191</v>
      </c>
      <c r="J40" s="76">
        <v>46078</v>
      </c>
      <c r="K40" s="72" t="s">
        <v>15</v>
      </c>
      <c r="L40" s="80"/>
    </row>
    <row r="41" spans="1:12" ht="22.5" hidden="1" customHeight="1" x14ac:dyDescent="0.25">
      <c r="A41" s="82"/>
      <c r="B41" s="72" t="s">
        <v>366</v>
      </c>
      <c r="C41" s="73" t="s">
        <v>367</v>
      </c>
      <c r="D41" s="74" t="s">
        <v>368</v>
      </c>
      <c r="E41" s="73" t="s">
        <v>360</v>
      </c>
      <c r="F41" s="73" t="s">
        <v>369</v>
      </c>
      <c r="G41" s="73"/>
      <c r="H41" s="75"/>
      <c r="I41" s="72" t="s">
        <v>191</v>
      </c>
      <c r="J41" s="76">
        <v>46078</v>
      </c>
      <c r="K41" s="72" t="s">
        <v>15</v>
      </c>
      <c r="L41" s="80"/>
    </row>
    <row r="42" spans="1:12" ht="22.5" hidden="1" customHeight="1" x14ac:dyDescent="0.25">
      <c r="A42" s="82"/>
      <c r="B42" s="72" t="s">
        <v>370</v>
      </c>
      <c r="C42" s="73" t="s">
        <v>371</v>
      </c>
      <c r="D42" s="74" t="s">
        <v>372</v>
      </c>
      <c r="E42" s="73" t="s">
        <v>360</v>
      </c>
      <c r="F42" s="73" t="s">
        <v>369</v>
      </c>
      <c r="G42" s="73"/>
      <c r="H42" s="75"/>
      <c r="I42" s="72" t="s">
        <v>191</v>
      </c>
      <c r="J42" s="76">
        <v>46078</v>
      </c>
      <c r="K42" s="72" t="s">
        <v>15</v>
      </c>
      <c r="L42" s="80"/>
    </row>
    <row r="43" spans="1:12" ht="22.5" hidden="1" customHeight="1" x14ac:dyDescent="0.25">
      <c r="A43" s="82"/>
      <c r="B43" s="72" t="s">
        <v>373</v>
      </c>
      <c r="C43" s="73" t="s">
        <v>374</v>
      </c>
      <c r="D43" s="74" t="s">
        <v>375</v>
      </c>
      <c r="E43" s="73" t="s">
        <v>376</v>
      </c>
      <c r="F43" s="73" t="s">
        <v>377</v>
      </c>
      <c r="G43" s="73"/>
      <c r="H43" s="75"/>
      <c r="I43" s="72" t="s">
        <v>191</v>
      </c>
      <c r="J43" s="76">
        <v>46078</v>
      </c>
      <c r="K43" s="72" t="s">
        <v>15</v>
      </c>
      <c r="L43" s="80"/>
    </row>
    <row r="44" spans="1:12" ht="22.5" hidden="1" customHeight="1" x14ac:dyDescent="0.25">
      <c r="A44" s="82"/>
      <c r="B44" s="72" t="s">
        <v>378</v>
      </c>
      <c r="C44" s="73" t="s">
        <v>379</v>
      </c>
      <c r="D44" s="74" t="s">
        <v>380</v>
      </c>
      <c r="E44" s="73" t="s">
        <v>381</v>
      </c>
      <c r="F44" s="73" t="s">
        <v>382</v>
      </c>
      <c r="G44" s="73"/>
      <c r="H44" s="75"/>
      <c r="I44" s="72" t="s">
        <v>191</v>
      </c>
      <c r="J44" s="76">
        <v>46078</v>
      </c>
      <c r="K44" s="72" t="s">
        <v>13</v>
      </c>
      <c r="L44" s="80"/>
    </row>
    <row r="45" spans="1:12" ht="118.8" x14ac:dyDescent="0.25">
      <c r="A45" s="82" t="s">
        <v>156</v>
      </c>
      <c r="B45" s="88" t="s">
        <v>383</v>
      </c>
      <c r="C45" s="84" t="s">
        <v>384</v>
      </c>
      <c r="D45" s="84"/>
      <c r="E45" s="84" t="s">
        <v>385</v>
      </c>
      <c r="F45" s="84" t="s">
        <v>386</v>
      </c>
      <c r="G45" s="84"/>
      <c r="H45" s="88"/>
      <c r="I45" s="88" t="s">
        <v>191</v>
      </c>
      <c r="J45" s="89">
        <v>46079</v>
      </c>
      <c r="K45" s="88" t="s">
        <v>19</v>
      </c>
      <c r="L45" s="84"/>
    </row>
    <row r="46" spans="1:12" ht="118.8" x14ac:dyDescent="0.25">
      <c r="A46" s="82"/>
      <c r="B46" s="88" t="s">
        <v>387</v>
      </c>
      <c r="C46" s="84" t="s">
        <v>388</v>
      </c>
      <c r="D46" s="84"/>
      <c r="E46" s="84" t="s">
        <v>385</v>
      </c>
      <c r="F46" s="84" t="s">
        <v>389</v>
      </c>
      <c r="G46" s="84"/>
      <c r="H46" s="88"/>
      <c r="I46" s="88" t="s">
        <v>191</v>
      </c>
      <c r="J46" s="89">
        <v>46079</v>
      </c>
      <c r="K46" s="88" t="s">
        <v>19</v>
      </c>
      <c r="L46" s="84"/>
    </row>
    <row r="47" spans="1:12" ht="118.8" x14ac:dyDescent="0.25">
      <c r="A47" s="82"/>
      <c r="B47" s="88" t="s">
        <v>390</v>
      </c>
      <c r="C47" s="84" t="s">
        <v>391</v>
      </c>
      <c r="D47" s="84"/>
      <c r="E47" s="84" t="s">
        <v>385</v>
      </c>
      <c r="F47" s="84" t="s">
        <v>389</v>
      </c>
      <c r="G47" s="84"/>
      <c r="H47" s="88"/>
      <c r="I47" s="88" t="s">
        <v>191</v>
      </c>
      <c r="J47" s="89">
        <v>46079</v>
      </c>
      <c r="K47" s="88" t="s">
        <v>19</v>
      </c>
      <c r="L47" s="84"/>
    </row>
    <row r="48" spans="1:12" ht="118.8" x14ac:dyDescent="0.25">
      <c r="A48" s="82"/>
      <c r="B48" s="88" t="s">
        <v>392</v>
      </c>
      <c r="C48" s="84" t="s">
        <v>393</v>
      </c>
      <c r="D48" s="84"/>
      <c r="E48" s="84" t="s">
        <v>385</v>
      </c>
      <c r="F48" s="84" t="s">
        <v>389</v>
      </c>
      <c r="G48" s="84"/>
      <c r="H48" s="88"/>
      <c r="I48" s="88" t="s">
        <v>191</v>
      </c>
      <c r="J48" s="89">
        <v>46079</v>
      </c>
      <c r="K48" s="88" t="s">
        <v>19</v>
      </c>
      <c r="L48" s="84"/>
    </row>
    <row r="49" spans="1:12" ht="118.8" x14ac:dyDescent="0.25">
      <c r="A49" s="82"/>
      <c r="B49" s="88" t="s">
        <v>394</v>
      </c>
      <c r="C49" s="84" t="s">
        <v>395</v>
      </c>
      <c r="D49" s="84"/>
      <c r="E49" s="84" t="s">
        <v>385</v>
      </c>
      <c r="F49" s="84" t="s">
        <v>396</v>
      </c>
      <c r="G49" s="84"/>
      <c r="H49" s="88"/>
      <c r="I49" s="88" t="s">
        <v>191</v>
      </c>
      <c r="J49" s="89">
        <v>46079</v>
      </c>
      <c r="K49" s="88" t="s">
        <v>19</v>
      </c>
      <c r="L49" s="84"/>
    </row>
    <row r="50" spans="1:12" ht="118.8" x14ac:dyDescent="0.25">
      <c r="A50" s="82"/>
      <c r="B50" s="88" t="s">
        <v>397</v>
      </c>
      <c r="C50" s="84" t="s">
        <v>398</v>
      </c>
      <c r="D50" s="84"/>
      <c r="E50" s="84" t="s">
        <v>385</v>
      </c>
      <c r="F50" s="84" t="s">
        <v>396</v>
      </c>
      <c r="G50" s="84"/>
      <c r="H50" s="88"/>
      <c r="I50" s="88" t="s">
        <v>191</v>
      </c>
      <c r="J50" s="89">
        <v>46079</v>
      </c>
      <c r="K50" s="88" t="s">
        <v>19</v>
      </c>
      <c r="L50" s="84"/>
    </row>
    <row r="51" spans="1:12" ht="118.8" x14ac:dyDescent="0.25">
      <c r="A51" s="82"/>
      <c r="B51" s="88" t="s">
        <v>399</v>
      </c>
      <c r="C51" s="84" t="s">
        <v>400</v>
      </c>
      <c r="D51" s="84"/>
      <c r="E51" s="84" t="s">
        <v>385</v>
      </c>
      <c r="F51" s="84" t="s">
        <v>401</v>
      </c>
      <c r="G51" s="84"/>
      <c r="H51" s="88"/>
      <c r="I51" s="88" t="s">
        <v>191</v>
      </c>
      <c r="J51" s="89">
        <v>46079</v>
      </c>
      <c r="K51" s="88" t="s">
        <v>19</v>
      </c>
      <c r="L51" s="84"/>
    </row>
    <row r="52" spans="1:12" ht="118.8" x14ac:dyDescent="0.25">
      <c r="A52" s="82"/>
      <c r="B52" s="88" t="s">
        <v>402</v>
      </c>
      <c r="C52" s="84" t="s">
        <v>403</v>
      </c>
      <c r="D52" s="84"/>
      <c r="E52" s="84" t="s">
        <v>385</v>
      </c>
      <c r="F52" s="84" t="s">
        <v>401</v>
      </c>
      <c r="G52" s="84"/>
      <c r="H52" s="88"/>
      <c r="I52" s="88" t="s">
        <v>191</v>
      </c>
      <c r="J52" s="89">
        <v>46079</v>
      </c>
      <c r="K52" s="88" t="s">
        <v>19</v>
      </c>
      <c r="L52" s="84"/>
    </row>
    <row r="53" spans="1:12" ht="118.8" x14ac:dyDescent="0.25">
      <c r="A53" s="82"/>
      <c r="B53" s="88" t="s">
        <v>404</v>
      </c>
      <c r="C53" s="84" t="s">
        <v>405</v>
      </c>
      <c r="D53" s="84"/>
      <c r="E53" s="84" t="s">
        <v>385</v>
      </c>
      <c r="F53" s="84" t="s">
        <v>396</v>
      </c>
      <c r="G53" s="84"/>
      <c r="H53" s="88"/>
      <c r="I53" s="88" t="s">
        <v>191</v>
      </c>
      <c r="J53" s="89">
        <v>46079</v>
      </c>
      <c r="K53" s="88" t="s">
        <v>19</v>
      </c>
      <c r="L53" s="84"/>
    </row>
    <row r="54" spans="1:12" ht="118.8" x14ac:dyDescent="0.25">
      <c r="A54" s="82"/>
      <c r="B54" s="88" t="s">
        <v>406</v>
      </c>
      <c r="C54" s="84" t="s">
        <v>407</v>
      </c>
      <c r="D54" s="84"/>
      <c r="E54" s="84" t="s">
        <v>385</v>
      </c>
      <c r="F54" s="84" t="s">
        <v>408</v>
      </c>
      <c r="G54" s="84"/>
      <c r="H54" s="88"/>
      <c r="I54" s="88" t="s">
        <v>191</v>
      </c>
      <c r="J54" s="89">
        <v>46079</v>
      </c>
      <c r="K54" s="88" t="s">
        <v>19</v>
      </c>
      <c r="L54" s="84"/>
    </row>
    <row r="55" spans="1:12" ht="145.19999999999999" x14ac:dyDescent="0.25">
      <c r="A55" s="82"/>
      <c r="B55" s="88" t="s">
        <v>409</v>
      </c>
      <c r="C55" s="84" t="s">
        <v>410</v>
      </c>
      <c r="D55" s="84"/>
      <c r="E55" s="84" t="s">
        <v>411</v>
      </c>
      <c r="F55" s="84" t="s">
        <v>412</v>
      </c>
      <c r="G55" s="84"/>
      <c r="H55" s="88"/>
      <c r="I55" s="88" t="s">
        <v>191</v>
      </c>
      <c r="J55" s="89">
        <v>46079</v>
      </c>
      <c r="K55" s="88" t="s">
        <v>19</v>
      </c>
      <c r="L55" s="84"/>
    </row>
    <row r="56" spans="1:12" ht="26.4" x14ac:dyDescent="0.25">
      <c r="A56" s="82"/>
      <c r="B56" s="88" t="s">
        <v>413</v>
      </c>
      <c r="C56" s="84" t="s">
        <v>414</v>
      </c>
      <c r="D56" s="84"/>
      <c r="E56" s="84" t="s">
        <v>415</v>
      </c>
      <c r="F56" s="84" t="s">
        <v>416</v>
      </c>
      <c r="G56" s="84"/>
      <c r="H56" s="88"/>
      <c r="I56" s="88" t="s">
        <v>191</v>
      </c>
      <c r="J56" s="89">
        <v>46079</v>
      </c>
      <c r="K56" s="88" t="s">
        <v>19</v>
      </c>
      <c r="L56" s="84"/>
    </row>
  </sheetData>
  <dataValidations count="3">
    <dataValidation type="list" allowBlank="1" sqref="H2:H56" xr:uid="{00000000-0002-0000-0200-000000000000}">
      <formula1>"PASS,FAIL"</formula1>
    </dataValidation>
    <dataValidation type="custom" allowBlank="1" showDropDown="1" sqref="J2:J56" xr:uid="{00000000-0002-0000-0200-000001000000}">
      <formula1>OR(NOT(ISERROR(DATEVALUE(J2))), AND(ISNUMBER(J2), LEFT(CELL("format", J2))="D"))</formula1>
    </dataValidation>
    <dataValidation type="list" allowBlank="1" sqref="L2:L56" xr:uid="{00000000-0002-0000-0200-000002000000}">
      <formula1>"Critical,Major,Minor"</formula1>
    </dataValidation>
  </dataValidations>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s>
  <pageMargins left="0.7" right="0.7" top="0.75" bottom="0.75" header="0.3" footer="0.3"/>
  <tableParts count="1">
    <tablePart r:id="rId4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744B7-3262-48B5-8746-C915E3F74035}">
  <dimension ref="A1:F11"/>
  <sheetViews>
    <sheetView tabSelected="1" zoomScale="70" zoomScaleNormal="70" workbookViewId="0">
      <selection activeCell="F6" sqref="F6"/>
    </sheetView>
  </sheetViews>
  <sheetFormatPr defaultRowHeight="13.2" x14ac:dyDescent="0.25"/>
  <cols>
    <col min="1" max="1" customWidth="true" width="22.109375"/>
    <col min="2" max="2" customWidth="true" width="22.6640625"/>
    <col min="3" max="3" customWidth="true" width="14.109375"/>
    <col min="4" max="4" customWidth="true" width="18.5546875"/>
    <col min="5" max="5" customWidth="true" width="14.0"/>
    <col min="6" max="6" customWidth="true" style="110" width="17.77734375"/>
  </cols>
  <sheetData>
    <row r="1" spans="1:6" ht="13.8" thickBot="1" x14ac:dyDescent="0.3">
      <c r="A1" s="108" t="s">
        <v>426</v>
      </c>
      <c r="B1" s="108" t="s">
        <v>428</v>
      </c>
      <c r="C1" s="108" t="s">
        <v>429</v>
      </c>
      <c r="D1" s="108" t="s">
        <v>427</v>
      </c>
      <c r="E1" s="108" t="s">
        <v>430</v>
      </c>
      <c r="F1" s="109" t="s">
        <v>461</v>
      </c>
    </row>
    <row r="2" spans="1:6" x14ac:dyDescent="0.25">
      <c r="A2" s="101" t="s">
        <v>431</v>
      </c>
      <c r="B2" s="107" t="s">
        <v>450</v>
      </c>
      <c r="C2" s="101">
        <v>123456</v>
      </c>
      <c r="D2" s="106" t="s">
        <v>19</v>
      </c>
      <c r="E2" s="101" t="s">
        <v>433</v>
      </c>
      <c r="F2" t="s" s="110">
        <v>462</v>
      </c>
    </row>
    <row r="3" spans="1:6" x14ac:dyDescent="0.25">
      <c r="A3" s="99" t="s">
        <v>434</v>
      </c>
      <c r="B3" s="94" t="s">
        <v>436</v>
      </c>
      <c r="C3" s="99">
        <v>123456</v>
      </c>
      <c r="D3" s="94" t="s">
        <v>435</v>
      </c>
      <c r="E3" s="99" t="s">
        <v>433</v>
      </c>
      <c r="F3" t="s" s="110">
        <v>463</v>
      </c>
    </row>
    <row r="4" spans="1:6" x14ac:dyDescent="0.25">
      <c r="A4" s="99" t="s">
        <v>441</v>
      </c>
      <c r="B4" s="94" t="s">
        <v>442</v>
      </c>
      <c r="C4" s="99">
        <v>123456</v>
      </c>
      <c r="D4" s="94" t="s">
        <v>435</v>
      </c>
      <c r="E4" s="99" t="s">
        <v>433</v>
      </c>
      <c r="F4" t="s" s="110">
        <v>464</v>
      </c>
    </row>
    <row r="5" spans="1:6" x14ac:dyDescent="0.25">
      <c r="A5" s="99" t="s">
        <v>437</v>
      </c>
      <c r="B5" s="95" t="s">
        <v>438</v>
      </c>
      <c r="C5" s="99">
        <v>123456</v>
      </c>
      <c r="D5" s="94" t="s">
        <v>435</v>
      </c>
      <c r="E5" s="99" t="s">
        <v>433</v>
      </c>
      <c r="F5" t="s" s="110">
        <v>465</v>
      </c>
    </row>
    <row r="6" spans="1:6" ht="343.2" x14ac:dyDescent="0.25">
      <c r="A6" s="103" t="s">
        <v>443</v>
      </c>
      <c r="B6" s="98" t="s">
        <v>444</v>
      </c>
      <c r="C6" s="102">
        <v>123456</v>
      </c>
      <c r="D6" s="94" t="s">
        <v>435</v>
      </c>
      <c r="E6" s="102" t="s">
        <v>433</v>
      </c>
      <c r="F6" t="s" s="110">
        <v>466</v>
      </c>
    </row>
    <row r="7" spans="1:6" ht="409.6" x14ac:dyDescent="0.25">
      <c r="A7" s="102" t="s">
        <v>445</v>
      </c>
      <c r="B7" s="94" t="s">
        <v>432</v>
      </c>
      <c r="C7" s="99" t="s">
        <v>446</v>
      </c>
      <c r="D7" s="94" t="s">
        <v>435</v>
      </c>
      <c r="E7" s="102" t="s">
        <v>433</v>
      </c>
      <c r="F7" t="s" s="110">
        <v>467</v>
      </c>
    </row>
    <row r="8" spans="1:6" x14ac:dyDescent="0.25">
      <c r="A8" s="102" t="s">
        <v>447</v>
      </c>
      <c r="B8" s="104" t="s">
        <v>449</v>
      </c>
      <c r="C8" s="105" t="s">
        <v>451</v>
      </c>
      <c r="D8" s="96" t="s">
        <v>448</v>
      </c>
      <c r="E8" s="100" t="s">
        <v>433</v>
      </c>
      <c r="F8" t="s" s="110">
        <v>468</v>
      </c>
    </row>
    <row r="9" spans="1:6" x14ac:dyDescent="0.25">
      <c r="A9" s="102" t="s">
        <v>452</v>
      </c>
      <c r="B9" s="104" t="s">
        <v>454</v>
      </c>
      <c r="C9" s="102">
        <v>123456</v>
      </c>
      <c r="D9" s="96" t="s">
        <v>453</v>
      </c>
      <c r="E9" s="100" t="s">
        <v>433</v>
      </c>
      <c r="F9" t="s" s="110">
        <v>469</v>
      </c>
    </row>
    <row r="10" spans="1:6" ht="396" x14ac:dyDescent="0.25">
      <c r="A10" s="102" t="s">
        <v>455</v>
      </c>
      <c r="B10" s="105" t="s">
        <v>432</v>
      </c>
      <c r="C10" s="102">
        <v>123456</v>
      </c>
      <c r="D10" s="97" t="s">
        <v>456</v>
      </c>
      <c r="E10" s="102" t="s">
        <v>433</v>
      </c>
      <c r="F10" t="s" s="110">
        <v>470</v>
      </c>
    </row>
    <row r="11" spans="1:6" x14ac:dyDescent="0.25">
      <c r="A11" s="102" t="s">
        <v>457</v>
      </c>
      <c r="B11" s="104" t="s">
        <v>459</v>
      </c>
      <c r="C11" s="102">
        <v>123456789</v>
      </c>
      <c r="D11" s="96" t="s">
        <v>458</v>
      </c>
      <c r="E11" s="100" t="s">
        <v>460</v>
      </c>
      <c r="F11" t="s" s="110">
        <v>471</v>
      </c>
    </row>
  </sheetData>
  <hyperlinks>
    <hyperlink ref="B5" r:id="rId1" xr:uid="{99303965-3F78-483F-A273-206821AF1206}"/>
    <hyperlink ref="B6" r:id="rId2" display="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trong@gmail.com" xr:uid="{19688BCA-1058-49F7-9DAA-B6B7F7EBF853}"/>
    <hyperlink ref="B2" r:id="rId3" xr:uid="{3BFBA25E-11C3-445C-B6BF-BD81575CC1B4}"/>
    <hyperlink ref="B8" r:id="rId4" xr:uid="{6AE6AB46-23C6-4C35-A8EB-C79AF8B5EFB0}"/>
    <hyperlink ref="B9" r:id="rId5" xr:uid="{6709594C-3C7B-45C9-B58E-764647B7D5F3}"/>
    <hyperlink ref="B10" r:id="rId6" xr:uid="{0C43953F-A250-4204-9CC6-F49928CEDB92}"/>
    <hyperlink ref="B11" r:id="rId7" xr:uid="{D3FB8842-4DAC-460D-9CAC-EF1FD469380F}"/>
    <hyperlink ref="C8" r:id="rId8" xr:uid="{9198F337-1F69-4863-810C-64DF16BEAF2F}"/>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9D6ED-7921-406B-A953-CB4624D2874F}">
  <dimension ref="A1:B3"/>
  <sheetViews>
    <sheetView workbookViewId="0">
      <selection activeCell="J9" sqref="J9"/>
    </sheetView>
  </sheetViews>
  <sheetFormatPr defaultRowHeight="13.2" x14ac:dyDescent="0.25"/>
  <cols>
    <col min="1" max="1" customWidth="true" width="17.0"/>
    <col min="2" max="2" customWidth="true" width="14.44140625"/>
  </cols>
  <sheetData>
    <row r="1" spans="1:2" ht="13.8" thickBot="1" x14ac:dyDescent="0.3">
      <c r="A1" s="90" t="s">
        <v>428</v>
      </c>
      <c r="B1" s="90" t="s">
        <v>440</v>
      </c>
    </row>
    <row r="2" spans="1:2" ht="13.8" thickBot="1" x14ac:dyDescent="0.3">
      <c r="A2" s="92" t="s">
        <v>439</v>
      </c>
      <c r="B2" s="91">
        <v>123456</v>
      </c>
    </row>
    <row r="3" spans="1:2" x14ac:dyDescent="0.25">
      <c r="A3" s="93"/>
    </row>
  </sheetData>
  <hyperlinks>
    <hyperlink ref="A2" r:id="rId1" xr:uid="{0DA6A575-A671-4CE2-ACF2-EEFA8620683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TestPlan</vt:lpstr>
      <vt:lpstr>TestDesign</vt:lpstr>
      <vt:lpstr>TestReport</vt:lpstr>
      <vt:lpstr>TestCase</vt:lpstr>
      <vt:lpstr>TaiKhoan_QLTK</vt:lpstr>
      <vt:lpstr>DangNhap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Hữu Trọng Lê</cp:lastModifiedBy>
  <dcterms:modified xsi:type="dcterms:W3CDTF">2026-02-27T09:35:31Z</dcterms:modified>
</cp:coreProperties>
</file>